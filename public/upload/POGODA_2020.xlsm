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WORK_2020\POGODA\"/>
    </mc:Choice>
  </mc:AlternateContent>
  <bookViews>
    <workbookView xWindow="-2655" yWindow="1170" windowWidth="28980" windowHeight="16440"/>
  </bookViews>
  <sheets>
    <sheet name="METEO" sheetId="1" r:id="rId1"/>
    <sheet name="Service1" sheetId="2" r:id="rId2"/>
    <sheet name="Service2" sheetId="13" r:id="rId3"/>
    <sheet name="JSONData" sheetId="12" r:id="rId4"/>
    <sheet name="VoiceDataT" sheetId="7" r:id="rId5"/>
    <sheet name="VoiceDataAT" sheetId="11" r:id="rId6"/>
    <sheet name="NBData" sheetId="8" r:id="rId7"/>
  </sheets>
  <functionGroups builtInGroupCount="18"/>
  <calcPr calcId="152511"/>
</workbook>
</file>

<file path=xl/calcChain.xml><?xml version="1.0" encoding="utf-8"?>
<calcChain xmlns="http://schemas.openxmlformats.org/spreadsheetml/2006/main">
  <c r="C44" i="1" l="1"/>
  <c r="C32" i="1" l="1"/>
  <c r="C9" i="1"/>
  <c r="BU42" i="1" l="1"/>
  <c r="C3" i="13" l="1"/>
  <c r="C5" i="13" s="1"/>
  <c r="C7" i="13" s="1"/>
  <c r="C6" i="1" l="1"/>
  <c r="M11" i="13" l="1"/>
  <c r="M12" i="13"/>
  <c r="M13" i="13"/>
  <c r="M14" i="13"/>
  <c r="M15" i="13"/>
  <c r="M16" i="13"/>
  <c r="M17" i="13"/>
  <c r="M18" i="13"/>
  <c r="M19" i="13"/>
  <c r="M20" i="13"/>
  <c r="M21" i="13"/>
  <c r="M22" i="13"/>
  <c r="M10" i="13"/>
  <c r="J6" i="13"/>
  <c r="I6" i="13"/>
  <c r="C25" i="13" l="1"/>
  <c r="AJ2" i="12" s="1"/>
  <c r="C24" i="13"/>
  <c r="AI2" i="12" s="1"/>
  <c r="C23" i="13"/>
  <c r="AH2" i="12" s="1"/>
  <c r="A13" i="8" l="1"/>
  <c r="A14" i="8"/>
  <c r="A15" i="8"/>
  <c r="A16" i="8"/>
  <c r="A17" i="8"/>
  <c r="A18" i="8"/>
  <c r="A12" i="8"/>
  <c r="A6" i="8"/>
  <c r="A7" i="8"/>
  <c r="A8" i="8"/>
  <c r="A9" i="8"/>
  <c r="A10" i="8"/>
  <c r="A11" i="8"/>
  <c r="A5" i="8"/>
  <c r="A4" i="8"/>
  <c r="AO10" i="13" l="1"/>
  <c r="AO11" i="13"/>
  <c r="AO12" i="13"/>
  <c r="AO13" i="13"/>
  <c r="AO14" i="13"/>
  <c r="AO15" i="13"/>
  <c r="AO16" i="13"/>
  <c r="AO17" i="13"/>
  <c r="AO18" i="13"/>
  <c r="AO19" i="13"/>
  <c r="AO20" i="13"/>
  <c r="AO21" i="13"/>
  <c r="AO22" i="13"/>
  <c r="AO23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O9" i="13"/>
  <c r="AN9" i="13"/>
  <c r="AH10" i="13"/>
  <c r="AI10" i="13" s="1"/>
  <c r="E3" i="12" s="1"/>
  <c r="AH11" i="13"/>
  <c r="AI11" i="13" s="1"/>
  <c r="E4" i="12" s="1"/>
  <c r="AH12" i="13"/>
  <c r="AJ12" i="13" s="1"/>
  <c r="AH13" i="13"/>
  <c r="AJ13" i="13" s="1"/>
  <c r="AH14" i="13"/>
  <c r="AI14" i="13" s="1"/>
  <c r="E7" i="12" s="1"/>
  <c r="AH15" i="13"/>
  <c r="AJ15" i="13" s="1"/>
  <c r="AH16" i="13"/>
  <c r="AJ16" i="13" s="1"/>
  <c r="AH17" i="13"/>
  <c r="AJ17" i="13" s="1"/>
  <c r="AH18" i="13"/>
  <c r="AI18" i="13" s="1"/>
  <c r="E11" i="12" s="1"/>
  <c r="AH19" i="13"/>
  <c r="AI19" i="13" s="1"/>
  <c r="E12" i="12" s="1"/>
  <c r="AH20" i="13"/>
  <c r="AJ20" i="13" s="1"/>
  <c r="AH21" i="13"/>
  <c r="AJ21" i="13" s="1"/>
  <c r="AH22" i="13"/>
  <c r="AI22" i="13" s="1"/>
  <c r="E15" i="12" s="1"/>
  <c r="AH23" i="13"/>
  <c r="AJ23" i="13" s="1"/>
  <c r="AH9" i="13"/>
  <c r="AJ9" i="13" s="1"/>
  <c r="AK6" i="13"/>
  <c r="V2" i="12" s="1"/>
  <c r="AJ6" i="13"/>
  <c r="R2" i="12" s="1"/>
  <c r="AH6" i="13"/>
  <c r="AI6" i="13" s="1"/>
  <c r="N2" i="12" s="1"/>
  <c r="AF10" i="13"/>
  <c r="AC5" i="11" s="1"/>
  <c r="AF11" i="13"/>
  <c r="AC6" i="11" s="1"/>
  <c r="AF12" i="13"/>
  <c r="AC7" i="11" s="1"/>
  <c r="AF13" i="13"/>
  <c r="AC8" i="11" s="1"/>
  <c r="AF14" i="13"/>
  <c r="AC9" i="11" s="1"/>
  <c r="AF15" i="13"/>
  <c r="AC10" i="11" s="1"/>
  <c r="AF16" i="13"/>
  <c r="AC11" i="11" s="1"/>
  <c r="AF17" i="13"/>
  <c r="AC13" i="11" s="1"/>
  <c r="AF18" i="13"/>
  <c r="AC14" i="11" s="1"/>
  <c r="AF19" i="13"/>
  <c r="AC15" i="11" s="1"/>
  <c r="AF20" i="13"/>
  <c r="AC16" i="11" s="1"/>
  <c r="AF21" i="13"/>
  <c r="AC17" i="11" s="1"/>
  <c r="AF22" i="13"/>
  <c r="AC18" i="11" s="1"/>
  <c r="AF23" i="13"/>
  <c r="AC19" i="11" s="1"/>
  <c r="AF9" i="13"/>
  <c r="AC21" i="11" s="1"/>
  <c r="AE10" i="13"/>
  <c r="M5" i="11" s="1"/>
  <c r="AE11" i="13"/>
  <c r="M6" i="11" s="1"/>
  <c r="AE12" i="13"/>
  <c r="M7" i="11" s="1"/>
  <c r="AE13" i="13"/>
  <c r="M8" i="11" s="1"/>
  <c r="AE14" i="13"/>
  <c r="M9" i="11" s="1"/>
  <c r="AE15" i="13"/>
  <c r="M10" i="11" s="1"/>
  <c r="AE16" i="13"/>
  <c r="M11" i="11" s="1"/>
  <c r="AE17" i="13"/>
  <c r="M13" i="11" s="1"/>
  <c r="AE18" i="13"/>
  <c r="M14" i="11" s="1"/>
  <c r="AE19" i="13"/>
  <c r="M15" i="11" s="1"/>
  <c r="AE20" i="13"/>
  <c r="M16" i="11" s="1"/>
  <c r="AE21" i="13"/>
  <c r="M17" i="11" s="1"/>
  <c r="AE22" i="13"/>
  <c r="M18" i="11" s="1"/>
  <c r="AE23" i="13"/>
  <c r="M19" i="11" s="1"/>
  <c r="AE9" i="13"/>
  <c r="M21" i="11" s="1"/>
  <c r="Y10" i="13"/>
  <c r="Z10" i="13" s="1"/>
  <c r="Y11" i="13"/>
  <c r="Z11" i="13" s="1"/>
  <c r="Y12" i="13"/>
  <c r="AA12" i="13" s="1"/>
  <c r="Y13" i="13"/>
  <c r="Z13" i="13" s="1"/>
  <c r="Y14" i="13"/>
  <c r="AA14" i="13" s="1"/>
  <c r="Y15" i="13"/>
  <c r="AA15" i="13" s="1"/>
  <c r="Y16" i="13"/>
  <c r="AA16" i="13" s="1"/>
  <c r="Y17" i="13"/>
  <c r="AA17" i="13" s="1"/>
  <c r="Y18" i="13"/>
  <c r="AA18" i="13" s="1"/>
  <c r="Y19" i="13"/>
  <c r="Z19" i="13" s="1"/>
  <c r="Y20" i="13"/>
  <c r="AA20" i="13" s="1"/>
  <c r="Y21" i="13"/>
  <c r="AA21" i="13" s="1"/>
  <c r="Y22" i="13"/>
  <c r="AA22" i="13" s="1"/>
  <c r="Y23" i="13"/>
  <c r="AA23" i="13" s="1"/>
  <c r="Y9" i="13"/>
  <c r="Z9" i="13" s="1"/>
  <c r="AB6" i="13"/>
  <c r="U2" i="12" s="1"/>
  <c r="AA6" i="13"/>
  <c r="Y6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9" i="13"/>
  <c r="P10" i="13"/>
  <c r="P11" i="13"/>
  <c r="R11" i="13" s="1"/>
  <c r="P12" i="13"/>
  <c r="R12" i="13" s="1"/>
  <c r="P13" i="13"/>
  <c r="R13" i="13" s="1"/>
  <c r="P14" i="13"/>
  <c r="R14" i="13" s="1"/>
  <c r="P15" i="13"/>
  <c r="R15" i="13" s="1"/>
  <c r="P16" i="13"/>
  <c r="R16" i="13" s="1"/>
  <c r="P17" i="13"/>
  <c r="R17" i="13" s="1"/>
  <c r="P18" i="13"/>
  <c r="R18" i="13" s="1"/>
  <c r="P19" i="13"/>
  <c r="R19" i="13" s="1"/>
  <c r="P20" i="13"/>
  <c r="R20" i="13" s="1"/>
  <c r="P21" i="13"/>
  <c r="R21" i="13" s="1"/>
  <c r="P22" i="13"/>
  <c r="R22" i="13" s="1"/>
  <c r="P23" i="13"/>
  <c r="R23" i="13" s="1"/>
  <c r="P9" i="13"/>
  <c r="R9" i="13" s="1"/>
  <c r="S6" i="13"/>
  <c r="T2" i="12" s="1"/>
  <c r="R6" i="13"/>
  <c r="P2" i="12" s="1"/>
  <c r="P6" i="13"/>
  <c r="Q6" i="13" s="1"/>
  <c r="L2" i="12" s="1"/>
  <c r="M8" i="7"/>
  <c r="AI12" i="13" l="1"/>
  <c r="E5" i="12" s="1"/>
  <c r="AI20" i="13"/>
  <c r="E13" i="12" s="1"/>
  <c r="AI16" i="13"/>
  <c r="E9" i="12" s="1"/>
  <c r="AJ11" i="13"/>
  <c r="AI21" i="13"/>
  <c r="E14" i="12" s="1"/>
  <c r="Z15" i="13"/>
  <c r="AR10" i="11" s="1"/>
  <c r="AA11" i="13"/>
  <c r="AA19" i="13"/>
  <c r="Q9" i="13"/>
  <c r="C2" i="12" s="1"/>
  <c r="Q20" i="13"/>
  <c r="C13" i="12" s="1"/>
  <c r="AA13" i="13"/>
  <c r="AA10" i="13"/>
  <c r="Q14" i="13"/>
  <c r="C7" i="12" s="1"/>
  <c r="Q22" i="13"/>
  <c r="C15" i="12" s="1"/>
  <c r="Z14" i="13"/>
  <c r="D7" i="12" s="1"/>
  <c r="Z18" i="13"/>
  <c r="D11" i="12" s="1"/>
  <c r="Z22" i="13"/>
  <c r="D15" i="12" s="1"/>
  <c r="Q17" i="13"/>
  <c r="C10" i="12" s="1"/>
  <c r="Q18" i="13"/>
  <c r="C11" i="12" s="1"/>
  <c r="D6" i="12"/>
  <c r="AR8" i="11"/>
  <c r="AR15" i="11"/>
  <c r="D12" i="12"/>
  <c r="AR6" i="11"/>
  <c r="D4" i="12"/>
  <c r="Z21" i="13"/>
  <c r="Z23" i="13"/>
  <c r="AR21" i="11"/>
  <c r="D2" i="12"/>
  <c r="AI15" i="13"/>
  <c r="E8" i="12" s="1"/>
  <c r="AJ19" i="13"/>
  <c r="Q13" i="13"/>
  <c r="C6" i="12" s="1"/>
  <c r="D3" i="12"/>
  <c r="AR5" i="11"/>
  <c r="Z17" i="13"/>
  <c r="Z6" i="13"/>
  <c r="M2" i="12" s="1"/>
  <c r="R22" i="11"/>
  <c r="Q21" i="13"/>
  <c r="C14" i="12" s="1"/>
  <c r="Q10" i="13"/>
  <c r="C3" i="12" s="1"/>
  <c r="R10" i="13"/>
  <c r="AE22" i="11"/>
  <c r="Q2" i="12"/>
  <c r="AJ10" i="13"/>
  <c r="AJ14" i="13"/>
  <c r="AJ18" i="13"/>
  <c r="AJ22" i="13"/>
  <c r="AI23" i="13"/>
  <c r="E16" i="12" s="1"/>
  <c r="AI9" i="13"/>
  <c r="E2" i="12" s="1"/>
  <c r="AI13" i="13"/>
  <c r="E6" i="12" s="1"/>
  <c r="AI17" i="13"/>
  <c r="E10" i="12" s="1"/>
  <c r="AA9" i="13"/>
  <c r="Z12" i="13"/>
  <c r="Z16" i="13"/>
  <c r="Z20" i="13"/>
  <c r="Q16" i="13"/>
  <c r="C9" i="12" s="1"/>
  <c r="Q12" i="13"/>
  <c r="C5" i="12" s="1"/>
  <c r="Q11" i="13"/>
  <c r="C4" i="12" s="1"/>
  <c r="Q15" i="13"/>
  <c r="C8" i="12" s="1"/>
  <c r="Q19" i="13"/>
  <c r="C12" i="12" s="1"/>
  <c r="Q23" i="13"/>
  <c r="C16" i="12" s="1"/>
  <c r="D8" i="12" l="1"/>
  <c r="AR9" i="11"/>
  <c r="AR18" i="11"/>
  <c r="AR14" i="11"/>
  <c r="AR19" i="11"/>
  <c r="D16" i="12"/>
  <c r="AR16" i="11"/>
  <c r="D13" i="12"/>
  <c r="AR17" i="11"/>
  <c r="D14" i="12"/>
  <c r="AR11" i="11"/>
  <c r="D9" i="12"/>
  <c r="AR13" i="11"/>
  <c r="D10" i="12"/>
  <c r="AR7" i="11"/>
  <c r="D5" i="12"/>
  <c r="BU32" i="1"/>
  <c r="BU33" i="1"/>
  <c r="BU34" i="1"/>
  <c r="BU35" i="1"/>
  <c r="BU36" i="1"/>
  <c r="BU37" i="1"/>
  <c r="BU38" i="1"/>
  <c r="BU39" i="1"/>
  <c r="BU40" i="1"/>
  <c r="BU41" i="1"/>
  <c r="BU43" i="1"/>
  <c r="BU44" i="1"/>
  <c r="BU45" i="1"/>
  <c r="BU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31" i="1"/>
  <c r="BT8" i="1"/>
  <c r="BU9" i="1"/>
  <c r="BU10" i="1"/>
  <c r="BU11" i="1"/>
  <c r="BU12" i="1"/>
  <c r="BU13" i="1"/>
  <c r="BU15" i="1"/>
  <c r="BU16" i="1"/>
  <c r="BU17" i="1"/>
  <c r="BU18" i="1"/>
  <c r="BU19" i="1"/>
  <c r="BU20" i="1"/>
  <c r="BU21" i="1"/>
  <c r="BU22" i="1"/>
  <c r="BU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C4" i="13"/>
  <c r="C6" i="13" s="1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3" i="2"/>
  <c r="C76" i="2"/>
  <c r="C75" i="2"/>
  <c r="C74" i="2"/>
  <c r="C72" i="2"/>
  <c r="M9" i="13"/>
  <c r="N9" i="13"/>
  <c r="M5" i="7"/>
  <c r="N10" i="13"/>
  <c r="O10" i="13" s="1" a="1"/>
  <c r="O10" i="13" s="1"/>
  <c r="M6" i="7"/>
  <c r="N11" i="13"/>
  <c r="M7" i="7"/>
  <c r="N12" i="13"/>
  <c r="N13" i="13"/>
  <c r="M9" i="7"/>
  <c r="N14" i="13"/>
  <c r="M10" i="7"/>
  <c r="N15" i="13"/>
  <c r="M11" i="7"/>
  <c r="N16" i="13"/>
  <c r="M13" i="7"/>
  <c r="N17" i="13"/>
  <c r="M14" i="7"/>
  <c r="N18" i="13"/>
  <c r="M15" i="7"/>
  <c r="N19" i="13"/>
  <c r="M16" i="7"/>
  <c r="N20" i="13"/>
  <c r="M17" i="7"/>
  <c r="N21" i="13"/>
  <c r="M18" i="7"/>
  <c r="N22" i="13"/>
  <c r="M23" i="13"/>
  <c r="M19" i="7" s="1"/>
  <c r="N23" i="13"/>
  <c r="F9" i="13"/>
  <c r="F6" i="13"/>
  <c r="F18" i="13"/>
  <c r="F19" i="13"/>
  <c r="F20" i="13"/>
  <c r="F21" i="13"/>
  <c r="F22" i="13"/>
  <c r="F23" i="13"/>
  <c r="F17" i="13"/>
  <c r="F11" i="13"/>
  <c r="F12" i="13"/>
  <c r="F13" i="13"/>
  <c r="F14" i="13"/>
  <c r="F15" i="13"/>
  <c r="F16" i="13"/>
  <c r="F10" i="13"/>
  <c r="O9" i="13" l="1" a="1"/>
  <c r="O9" i="13" s="1"/>
  <c r="G2" i="12" s="1"/>
  <c r="M21" i="7"/>
  <c r="AC7" i="7"/>
  <c r="R7" i="8"/>
  <c r="R5" i="8"/>
  <c r="AC5" i="7"/>
  <c r="R17" i="8"/>
  <c r="AC18" i="7"/>
  <c r="R15" i="8"/>
  <c r="AC16" i="7"/>
  <c r="AC14" i="7"/>
  <c r="R13" i="8"/>
  <c r="R11" i="8"/>
  <c r="AC11" i="7"/>
  <c r="AC9" i="7"/>
  <c r="R9" i="8"/>
  <c r="R6" i="8"/>
  <c r="AC6" i="7"/>
  <c r="R18" i="8"/>
  <c r="AC19" i="7"/>
  <c r="R16" i="8"/>
  <c r="AC17" i="7"/>
  <c r="R14" i="8"/>
  <c r="AC15" i="7"/>
  <c r="R12" i="8"/>
  <c r="AC13" i="7"/>
  <c r="R10" i="8"/>
  <c r="AC10" i="7"/>
  <c r="R4" i="8"/>
  <c r="AC21" i="7"/>
  <c r="R8" i="8"/>
  <c r="AC8" i="7"/>
  <c r="C20" i="13"/>
  <c r="C19" i="13"/>
  <c r="C14" i="13"/>
  <c r="C8" i="13"/>
  <c r="C12" i="13" s="1"/>
  <c r="C17" i="13"/>
  <c r="C18" i="13"/>
  <c r="C13" i="13"/>
  <c r="AP23" i="13" a="1"/>
  <c r="AP23" i="13" s="1"/>
  <c r="J16" i="12" s="1"/>
  <c r="AP19" i="13" a="1"/>
  <c r="AP19" i="13" s="1"/>
  <c r="J12" i="12" s="1"/>
  <c r="AP15" i="13" a="1"/>
  <c r="AP15" i="13" s="1"/>
  <c r="J8" i="12" s="1"/>
  <c r="AP11" i="13" a="1"/>
  <c r="AP11" i="13" s="1"/>
  <c r="J4" i="12" s="1"/>
  <c r="AG23" i="13" a="1"/>
  <c r="AG23" i="13" s="1"/>
  <c r="I16" i="12" s="1"/>
  <c r="AG19" i="13" a="1"/>
  <c r="AG19" i="13" s="1"/>
  <c r="I12" i="12" s="1"/>
  <c r="AG15" i="13" a="1"/>
  <c r="AG15" i="13" s="1"/>
  <c r="I8" i="12" s="1"/>
  <c r="AG11" i="13" a="1"/>
  <c r="AG11" i="13" s="1"/>
  <c r="I4" i="12" s="1"/>
  <c r="X20" i="13" a="1"/>
  <c r="X20" i="13" s="1"/>
  <c r="H13" i="12" s="1"/>
  <c r="X16" i="13" a="1"/>
  <c r="X16" i="13" s="1"/>
  <c r="H9" i="12" s="1"/>
  <c r="X12" i="13" a="1"/>
  <c r="X12" i="13" s="1"/>
  <c r="H5" i="12" s="1"/>
  <c r="X19" i="13" a="1"/>
  <c r="X19" i="13" s="1"/>
  <c r="H12" i="12" s="1"/>
  <c r="X15" i="13" a="1"/>
  <c r="X15" i="13" s="1"/>
  <c r="H8" i="12" s="1"/>
  <c r="X9" i="13" a="1"/>
  <c r="X9" i="13" s="1"/>
  <c r="H2" i="12" s="1"/>
  <c r="AG16" i="13" a="1"/>
  <c r="AG16" i="13" s="1"/>
  <c r="I9" i="12" s="1"/>
  <c r="X13" i="13" a="1"/>
  <c r="X13" i="13" s="1"/>
  <c r="H6" i="12" s="1"/>
  <c r="AP22" i="13" a="1"/>
  <c r="AP22" i="13" s="1"/>
  <c r="J15" i="12" s="1"/>
  <c r="AP18" i="13" a="1"/>
  <c r="AP18" i="13" s="1"/>
  <c r="J11" i="12" s="1"/>
  <c r="AP14" i="13" a="1"/>
  <c r="AP14" i="13" s="1"/>
  <c r="J7" i="12" s="1"/>
  <c r="AP10" i="13" a="1"/>
  <c r="AP10" i="13" s="1"/>
  <c r="J3" i="12" s="1"/>
  <c r="AG22" i="13" a="1"/>
  <c r="AG22" i="13" s="1"/>
  <c r="I15" i="12" s="1"/>
  <c r="AG18" i="13" a="1"/>
  <c r="AG18" i="13" s="1"/>
  <c r="I11" i="12" s="1"/>
  <c r="AG14" i="13" a="1"/>
  <c r="AG14" i="13" s="1"/>
  <c r="I7" i="12" s="1"/>
  <c r="AG10" i="13" a="1"/>
  <c r="AG10" i="13" s="1"/>
  <c r="I3" i="12" s="1"/>
  <c r="X23" i="13" a="1"/>
  <c r="X23" i="13" s="1"/>
  <c r="H16" i="12" s="1"/>
  <c r="X11" i="13" a="1"/>
  <c r="X11" i="13" s="1"/>
  <c r="H4" i="12" s="1"/>
  <c r="AG20" i="13" a="1"/>
  <c r="AG20" i="13" s="1"/>
  <c r="I13" i="12" s="1"/>
  <c r="X21" i="13" a="1"/>
  <c r="X21" i="13" s="1"/>
  <c r="H14" i="12" s="1"/>
  <c r="AP21" i="13" a="1"/>
  <c r="AP21" i="13" s="1"/>
  <c r="J14" i="12" s="1"/>
  <c r="AP17" i="13" a="1"/>
  <c r="AP17" i="13" s="1"/>
  <c r="J10" i="12" s="1"/>
  <c r="AP13" i="13" a="1"/>
  <c r="AP13" i="13" s="1"/>
  <c r="J6" i="12" s="1"/>
  <c r="AP9" i="13" a="1"/>
  <c r="AP9" i="13" s="1"/>
  <c r="J2" i="12" s="1"/>
  <c r="AG21" i="13" a="1"/>
  <c r="AG21" i="13" s="1"/>
  <c r="I14" i="12" s="1"/>
  <c r="AG17" i="13" a="1"/>
  <c r="AG17" i="13" s="1"/>
  <c r="I10" i="12" s="1"/>
  <c r="AG13" i="13" a="1"/>
  <c r="AG13" i="13" s="1"/>
  <c r="I6" i="12" s="1"/>
  <c r="AG9" i="13" a="1"/>
  <c r="AG9" i="13" s="1"/>
  <c r="I2" i="12" s="1"/>
  <c r="X22" i="13" a="1"/>
  <c r="X22" i="13" s="1"/>
  <c r="H15" i="12" s="1"/>
  <c r="X18" i="13" a="1"/>
  <c r="X18" i="13" s="1"/>
  <c r="H11" i="12" s="1"/>
  <c r="X14" i="13" a="1"/>
  <c r="X14" i="13" s="1"/>
  <c r="H7" i="12" s="1"/>
  <c r="X10" i="13" a="1"/>
  <c r="X10" i="13" s="1"/>
  <c r="H3" i="12" s="1"/>
  <c r="AP20" i="13" a="1"/>
  <c r="AP20" i="13" s="1"/>
  <c r="J13" i="12" s="1"/>
  <c r="AP16" i="13" a="1"/>
  <c r="AP16" i="13" s="1"/>
  <c r="J9" i="12" s="1"/>
  <c r="AP12" i="13" a="1"/>
  <c r="AP12" i="13" s="1"/>
  <c r="J5" i="12" s="1"/>
  <c r="AG12" i="13" a="1"/>
  <c r="AG12" i="13" s="1"/>
  <c r="I5" i="12" s="1"/>
  <c r="X17" i="13" a="1"/>
  <c r="X17" i="13" s="1"/>
  <c r="H10" i="12" s="1"/>
  <c r="O11" i="13" a="1"/>
  <c r="O11" i="13" s="1"/>
  <c r="G4" i="12" s="1"/>
  <c r="O14" i="13" a="1"/>
  <c r="O14" i="13" s="1"/>
  <c r="G7" i="12" s="1"/>
  <c r="O16" i="13" a="1"/>
  <c r="O16" i="13" s="1"/>
  <c r="G9" i="12" s="1"/>
  <c r="O12" i="13" a="1"/>
  <c r="O12" i="13" s="1"/>
  <c r="G5" i="12" s="1"/>
  <c r="G3" i="12"/>
  <c r="O15" i="13" a="1"/>
  <c r="O15" i="13" s="1"/>
  <c r="G8" i="12" s="1"/>
  <c r="O17" i="13" a="1"/>
  <c r="O17" i="13" s="1"/>
  <c r="G10" i="12" s="1"/>
  <c r="O13" i="13" a="1"/>
  <c r="O13" i="13" s="1"/>
  <c r="G6" i="12" s="1"/>
  <c r="O18" i="13" a="1"/>
  <c r="O18" i="13" s="1"/>
  <c r="G11" i="12" s="1"/>
  <c r="O19" i="13" a="1"/>
  <c r="O19" i="13" s="1"/>
  <c r="G12" i="12" s="1"/>
  <c r="O23" i="13" a="1"/>
  <c r="O23" i="13" s="1"/>
  <c r="G16" i="12" s="1"/>
  <c r="O21" i="13" a="1"/>
  <c r="O21" i="13" s="1"/>
  <c r="G14" i="12" s="1"/>
  <c r="O22" i="13" a="1"/>
  <c r="O22" i="13" s="1"/>
  <c r="G15" i="12" s="1"/>
  <c r="O20" i="13" a="1"/>
  <c r="O20" i="13" s="1"/>
  <c r="G13" i="12" s="1"/>
  <c r="C11" i="13" l="1"/>
  <c r="W2" i="12" s="1"/>
  <c r="C9" i="13"/>
  <c r="W2" i="1" s="1"/>
  <c r="C21" i="13"/>
  <c r="Y3" i="13"/>
  <c r="AE2" i="12"/>
  <c r="AG25" i="1"/>
  <c r="A3" i="11"/>
  <c r="Z2" i="12"/>
  <c r="AH3" i="13"/>
  <c r="AF2" i="12"/>
  <c r="A3" i="7"/>
  <c r="R3" i="8"/>
  <c r="Y2" i="12"/>
  <c r="P3" i="13"/>
  <c r="AD2" i="12"/>
  <c r="G3" i="13"/>
  <c r="AC2" i="12"/>
  <c r="C10" i="13"/>
  <c r="R3" i="11" s="1"/>
  <c r="X2" i="12"/>
  <c r="AG2" i="1"/>
  <c r="G23" i="13"/>
  <c r="I23" i="13" s="1"/>
  <c r="G22" i="13"/>
  <c r="I22" i="13" s="1"/>
  <c r="G21" i="13"/>
  <c r="G20" i="13"/>
  <c r="H20" i="13" s="1"/>
  <c r="G19" i="13"/>
  <c r="H19" i="13" s="1"/>
  <c r="G18" i="13"/>
  <c r="H18" i="13" s="1"/>
  <c r="G17" i="13"/>
  <c r="I17" i="13" s="1"/>
  <c r="G16" i="13"/>
  <c r="G15" i="13"/>
  <c r="H15" i="13" s="1"/>
  <c r="G14" i="13"/>
  <c r="H14" i="13" s="1"/>
  <c r="G13" i="13"/>
  <c r="H13" i="13" s="1"/>
  <c r="G12" i="13"/>
  <c r="G11" i="13"/>
  <c r="I11" i="13" s="1"/>
  <c r="G10" i="13"/>
  <c r="H10" i="13" s="1"/>
  <c r="G9" i="13"/>
  <c r="H9" i="13" s="1"/>
  <c r="S2" i="12"/>
  <c r="G6" i="13"/>
  <c r="H6" i="13" s="1"/>
  <c r="O2" i="12" l="1"/>
  <c r="AE22" i="7"/>
  <c r="S23" i="13"/>
  <c r="AK23" i="13"/>
  <c r="AB23" i="13"/>
  <c r="AB22" i="13"/>
  <c r="AK22" i="13"/>
  <c r="S22" i="13"/>
  <c r="Q15" i="8"/>
  <c r="B13" i="12"/>
  <c r="AR16" i="7"/>
  <c r="Q14" i="8"/>
  <c r="AR15" i="7"/>
  <c r="B12" i="12"/>
  <c r="Q13" i="8"/>
  <c r="B11" i="12"/>
  <c r="AR14" i="7"/>
  <c r="AB17" i="13"/>
  <c r="AK17" i="13"/>
  <c r="S17" i="13"/>
  <c r="AR10" i="7"/>
  <c r="Q10" i="8"/>
  <c r="B8" i="12"/>
  <c r="Q9" i="8"/>
  <c r="AR9" i="7"/>
  <c r="B7" i="12"/>
  <c r="Q8" i="8"/>
  <c r="AR8" i="7"/>
  <c r="B6" i="12"/>
  <c r="AK11" i="13"/>
  <c r="AB11" i="13"/>
  <c r="S11" i="13"/>
  <c r="B3" i="12"/>
  <c r="Q5" i="8"/>
  <c r="AR5" i="7"/>
  <c r="AR21" i="7"/>
  <c r="B2" i="12"/>
  <c r="Q4" i="8"/>
  <c r="R3" i="7"/>
  <c r="K2" i="12"/>
  <c r="R22" i="7"/>
  <c r="AG2" i="12"/>
  <c r="C16" i="13"/>
  <c r="AB2" i="12" s="1"/>
  <c r="W25" i="1"/>
  <c r="C15" i="13"/>
  <c r="AA2" i="12" s="1"/>
  <c r="H22" i="13"/>
  <c r="I19" i="13"/>
  <c r="I10" i="13"/>
  <c r="I13" i="13"/>
  <c r="I14" i="13"/>
  <c r="I15" i="13"/>
  <c r="I18" i="13"/>
  <c r="H11" i="13"/>
  <c r="I9" i="13"/>
  <c r="J9" i="13" s="1"/>
  <c r="H12" i="13"/>
  <c r="Q7" i="8" s="1"/>
  <c r="I12" i="13"/>
  <c r="I21" i="13"/>
  <c r="H21" i="13"/>
  <c r="H16" i="13"/>
  <c r="I16" i="13"/>
  <c r="H17" i="13"/>
  <c r="I20" i="13"/>
  <c r="H23" i="13"/>
  <c r="Q18" i="8" l="1"/>
  <c r="B16" i="12"/>
  <c r="AR19" i="7"/>
  <c r="Q17" i="8"/>
  <c r="B15" i="12"/>
  <c r="AR18" i="7"/>
  <c r="Q16" i="8"/>
  <c r="AR17" i="7"/>
  <c r="B14" i="12"/>
  <c r="AK21" i="13"/>
  <c r="S21" i="13"/>
  <c r="AB21" i="13"/>
  <c r="AK20" i="13"/>
  <c r="AB20" i="13"/>
  <c r="S20" i="13"/>
  <c r="S19" i="13"/>
  <c r="AK19" i="13"/>
  <c r="AB19" i="13"/>
  <c r="AB18" i="13"/>
  <c r="AK18" i="13"/>
  <c r="S18" i="13"/>
  <c r="Q12" i="8"/>
  <c r="AR13" i="7"/>
  <c r="B10" i="12"/>
  <c r="Q11" i="8"/>
  <c r="AR11" i="7"/>
  <c r="B9" i="12"/>
  <c r="S16" i="13"/>
  <c r="AB16" i="13"/>
  <c r="AK16" i="13"/>
  <c r="AB15" i="13"/>
  <c r="S15" i="13"/>
  <c r="AK15" i="13"/>
  <c r="AB14" i="13"/>
  <c r="AK14" i="13"/>
  <c r="S14" i="13"/>
  <c r="AB13" i="13"/>
  <c r="AK13" i="13"/>
  <c r="S13" i="13"/>
  <c r="Q6" i="8"/>
  <c r="B4" i="12"/>
  <c r="AR6" i="7"/>
  <c r="AK10" i="13"/>
  <c r="AB10" i="13"/>
  <c r="S10" i="13"/>
  <c r="AK9" i="13"/>
  <c r="AB9" i="13"/>
  <c r="S9" i="13"/>
  <c r="AK12" i="13"/>
  <c r="AB12" i="13"/>
  <c r="S12" i="13"/>
  <c r="B5" i="12"/>
  <c r="AR7" i="7"/>
  <c r="A11" i="12"/>
  <c r="A12" i="12"/>
  <c r="A13" i="12"/>
  <c r="A14" i="12"/>
  <c r="A15" i="12"/>
  <c r="A16" i="12"/>
  <c r="A10" i="12"/>
  <c r="A4" i="12"/>
  <c r="A5" i="12"/>
  <c r="A6" i="12"/>
  <c r="A7" i="12"/>
  <c r="A8" i="12"/>
  <c r="A9" i="12"/>
  <c r="A3" i="12"/>
  <c r="A2" i="12"/>
  <c r="K9" i="13" l="1"/>
  <c r="L9" i="13" s="1"/>
  <c r="AL9" i="13"/>
  <c r="T9" i="13"/>
  <c r="U9" i="13" s="1"/>
  <c r="AC9" i="13"/>
  <c r="AD9" i="13" s="1"/>
  <c r="A21" i="11"/>
  <c r="A19" i="11"/>
  <c r="A18" i="11"/>
  <c r="A17" i="11"/>
  <c r="A16" i="11"/>
  <c r="A15" i="11"/>
  <c r="A14" i="11"/>
  <c r="A13" i="11"/>
  <c r="A11" i="11"/>
  <c r="A10" i="11"/>
  <c r="A9" i="11"/>
  <c r="A8" i="11"/>
  <c r="A7" i="11"/>
  <c r="A6" i="11"/>
  <c r="A5" i="11"/>
  <c r="A21" i="7"/>
  <c r="A14" i="7"/>
  <c r="A15" i="7"/>
  <c r="A16" i="7"/>
  <c r="A17" i="7"/>
  <c r="A18" i="7"/>
  <c r="A19" i="7"/>
  <c r="A13" i="7"/>
  <c r="A6" i="7"/>
  <c r="A7" i="7"/>
  <c r="A8" i="7"/>
  <c r="A9" i="7"/>
  <c r="A10" i="7"/>
  <c r="A11" i="7"/>
  <c r="A5" i="7"/>
  <c r="AM9" i="13" l="1"/>
  <c r="AQ9" i="13" s="1"/>
  <c r="F2" i="12" s="1"/>
  <c r="C40" i="1"/>
  <c r="C41" i="1"/>
  <c r="C42" i="1"/>
  <c r="C43" i="1"/>
  <c r="C45" i="1"/>
  <c r="C39" i="1"/>
  <c r="C33" i="1"/>
  <c r="C34" i="1"/>
  <c r="C35" i="1"/>
  <c r="C36" i="1"/>
  <c r="C37" i="1"/>
  <c r="C38" i="1"/>
  <c r="C31" i="1"/>
  <c r="C29" i="1"/>
  <c r="C17" i="1"/>
  <c r="C18" i="1"/>
  <c r="C19" i="1"/>
  <c r="C20" i="1"/>
  <c r="C21" i="1"/>
  <c r="C22" i="1"/>
  <c r="C16" i="1"/>
  <c r="C10" i="1"/>
  <c r="C11" i="1"/>
  <c r="C12" i="1"/>
  <c r="C13" i="1"/>
  <c r="C14" i="1"/>
  <c r="C15" i="1"/>
  <c r="C8" i="1"/>
  <c r="J10" i="13" l="1"/>
  <c r="J18" i="13"/>
  <c r="J16" i="13"/>
  <c r="J20" i="13"/>
  <c r="J15" i="13"/>
  <c r="J11" i="13"/>
  <c r="J19" i="13"/>
  <c r="J12" i="13"/>
  <c r="J14" i="13"/>
  <c r="J23" i="13"/>
  <c r="J17" i="13"/>
  <c r="J22" i="13"/>
  <c r="J13" i="13"/>
  <c r="J21" i="13"/>
  <c r="K23" i="13" l="1"/>
  <c r="L23" i="13" s="1"/>
  <c r="T23" i="13"/>
  <c r="U23" i="13" s="1"/>
  <c r="AL23" i="13"/>
  <c r="AM23" i="13" s="1"/>
  <c r="AC23" i="13"/>
  <c r="K22" i="13"/>
  <c r="L22" i="13" s="1"/>
  <c r="AC22" i="13"/>
  <c r="T22" i="13"/>
  <c r="U22" i="13" s="1"/>
  <c r="AL22" i="13"/>
  <c r="AM22" i="13" s="1"/>
  <c r="K21" i="13"/>
  <c r="L21" i="13" s="1"/>
  <c r="T21" i="13"/>
  <c r="U21" i="13" s="1"/>
  <c r="AL21" i="13"/>
  <c r="AM21" i="13" s="1"/>
  <c r="AC21" i="13"/>
  <c r="K20" i="13"/>
  <c r="L20" i="13" s="1"/>
  <c r="T20" i="13"/>
  <c r="U20" i="13" s="1"/>
  <c r="AC20" i="13"/>
  <c r="AL20" i="13"/>
  <c r="AM20" i="13" s="1"/>
  <c r="K19" i="13"/>
  <c r="L19" i="13" s="1"/>
  <c r="AL19" i="13"/>
  <c r="AM19" i="13" s="1"/>
  <c r="T19" i="13"/>
  <c r="U19" i="13" s="1"/>
  <c r="AC19" i="13"/>
  <c r="K18" i="13"/>
  <c r="L18" i="13" s="1"/>
  <c r="T18" i="13"/>
  <c r="U18" i="13" s="1"/>
  <c r="AL18" i="13"/>
  <c r="AM18" i="13" s="1"/>
  <c r="AC18" i="13"/>
  <c r="K17" i="13"/>
  <c r="L17" i="13" s="1"/>
  <c r="AL17" i="13"/>
  <c r="AM17" i="13" s="1"/>
  <c r="AC17" i="13"/>
  <c r="T17" i="13"/>
  <c r="U17" i="13" s="1"/>
  <c r="K16" i="13"/>
  <c r="L16" i="13" s="1"/>
  <c r="T16" i="13"/>
  <c r="U16" i="13" s="1"/>
  <c r="AL16" i="13"/>
  <c r="AM16" i="13" s="1"/>
  <c r="AC16" i="13"/>
  <c r="K15" i="13"/>
  <c r="L15" i="13" s="1"/>
  <c r="AL15" i="13"/>
  <c r="AM15" i="13" s="1"/>
  <c r="T15" i="13"/>
  <c r="U15" i="13" s="1"/>
  <c r="AC15" i="13"/>
  <c r="K14" i="13"/>
  <c r="L14" i="13" s="1"/>
  <c r="AC14" i="13"/>
  <c r="T14" i="13"/>
  <c r="U14" i="13" s="1"/>
  <c r="AL14" i="13"/>
  <c r="AM14" i="13" s="1"/>
  <c r="K13" i="13"/>
  <c r="L13" i="13" s="1"/>
  <c r="AL13" i="13"/>
  <c r="AM13" i="13" s="1"/>
  <c r="AC13" i="13"/>
  <c r="T13" i="13"/>
  <c r="U13" i="13" s="1"/>
  <c r="K11" i="13"/>
  <c r="L11" i="13" s="1"/>
  <c r="AL11" i="13"/>
  <c r="AM11" i="13" s="1"/>
  <c r="T11" i="13"/>
  <c r="U11" i="13" s="1"/>
  <c r="AC11" i="13"/>
  <c r="K10" i="13"/>
  <c r="L10" i="13" s="1"/>
  <c r="T10" i="13"/>
  <c r="U10" i="13" s="1"/>
  <c r="AC10" i="13"/>
  <c r="AL10" i="13"/>
  <c r="AL12" i="13"/>
  <c r="AM12" i="13" s="1"/>
  <c r="AC12" i="13"/>
  <c r="T12" i="13"/>
  <c r="U12" i="13" s="1"/>
  <c r="K12" i="13"/>
  <c r="L12" i="13" s="1"/>
  <c r="AM10" i="13" l="1"/>
  <c r="AD11" i="13"/>
  <c r="AQ11" i="13" s="1"/>
  <c r="F4" i="12" s="1"/>
  <c r="AD15" i="13"/>
  <c r="AQ15" i="13" s="1"/>
  <c r="F8" i="12" s="1"/>
  <c r="AD16" i="13"/>
  <c r="AQ16" i="13" s="1"/>
  <c r="F9" i="12" s="1"/>
  <c r="AD18" i="13"/>
  <c r="AQ18" i="13" s="1"/>
  <c r="F11" i="12" s="1"/>
  <c r="AD19" i="13"/>
  <c r="AQ19" i="13" s="1"/>
  <c r="F12" i="12" s="1"/>
  <c r="AD21" i="13"/>
  <c r="AQ21" i="13" s="1"/>
  <c r="F14" i="12" s="1"/>
  <c r="AD23" i="13"/>
  <c r="AQ23" i="13" s="1"/>
  <c r="F16" i="12" s="1"/>
  <c r="AD10" i="13"/>
  <c r="AD13" i="13"/>
  <c r="AQ13" i="13" s="1"/>
  <c r="F6" i="12" s="1"/>
  <c r="AD17" i="13"/>
  <c r="AQ17" i="13" s="1"/>
  <c r="F10" i="12" s="1"/>
  <c r="AD20" i="13"/>
  <c r="AQ20" i="13" s="1"/>
  <c r="F13" i="12" s="1"/>
  <c r="AD12" i="13"/>
  <c r="AQ12" i="13" s="1"/>
  <c r="F5" i="12" s="1"/>
  <c r="AD14" i="13"/>
  <c r="AQ14" i="13" s="1"/>
  <c r="F7" i="12" s="1"/>
  <c r="AD22" i="13"/>
  <c r="AQ22" i="13" s="1"/>
  <c r="F15" i="12" s="1"/>
  <c r="AQ10" i="13" l="1"/>
  <c r="F3" i="12" s="1"/>
</calcChain>
</file>

<file path=xl/sharedStrings.xml><?xml version="1.0" encoding="utf-8"?>
<sst xmlns="http://schemas.openxmlformats.org/spreadsheetml/2006/main" count="534" uniqueCount="231">
  <si>
    <t>ЗАВТРА</t>
  </si>
  <si>
    <t>Региональный центр</t>
  </si>
  <si>
    <t>Облачность</t>
  </si>
  <si>
    <t>Код</t>
  </si>
  <si>
    <t>Без осадков</t>
  </si>
  <si>
    <t>понедельник</t>
  </si>
  <si>
    <t>вторник</t>
  </si>
  <si>
    <t>четверг</t>
  </si>
  <si>
    <t>среду</t>
  </si>
  <si>
    <t>пятницу</t>
  </si>
  <si>
    <t>субботу</t>
  </si>
  <si>
    <t>воскресенье</t>
  </si>
  <si>
    <t>ДЕНЬ</t>
  </si>
  <si>
    <t>Северный</t>
  </si>
  <si>
    <t>Западный</t>
  </si>
  <si>
    <t>Юго-западный</t>
  </si>
  <si>
    <t>Южный</t>
  </si>
  <si>
    <t>Юго-восточный</t>
  </si>
  <si>
    <t>Восточный</t>
  </si>
  <si>
    <t>Северо-восточный</t>
  </si>
  <si>
    <t>Северо-западный</t>
  </si>
  <si>
    <t>День</t>
  </si>
  <si>
    <t>Явление погоды</t>
  </si>
  <si>
    <t>Слабый дождь</t>
  </si>
  <si>
    <t>Дождь</t>
  </si>
  <si>
    <t>Сильный дождь</t>
  </si>
  <si>
    <t>Слабый снег</t>
  </si>
  <si>
    <t>Снег</t>
  </si>
  <si>
    <t>Сильный снег</t>
  </si>
  <si>
    <t>Слабый снег с дождем</t>
  </si>
  <si>
    <t>Снег с дождем</t>
  </si>
  <si>
    <t>Сильный снег с дождем</t>
  </si>
  <si>
    <t>Гроза</t>
  </si>
  <si>
    <t>НОЧЬ</t>
  </si>
  <si>
    <t>Направление ветра</t>
  </si>
  <si>
    <t>ПОСЛЕЗАВТРА</t>
  </si>
  <si>
    <t>среда</t>
  </si>
  <si>
    <t>пятница</t>
  </si>
  <si>
    <t>суббота</t>
  </si>
  <si>
    <t>Ветер:</t>
  </si>
  <si>
    <t>Сила ветра</t>
  </si>
  <si>
    <t>Атмосферное давление</t>
  </si>
  <si>
    <t>t</t>
  </si>
  <si>
    <t>Ветер исх</t>
  </si>
  <si>
    <t>Ветер JSON</t>
  </si>
  <si>
    <t>Пром 1</t>
  </si>
  <si>
    <t>Пром 2</t>
  </si>
  <si>
    <t>График JSON</t>
  </si>
  <si>
    <t>Температура JSON</t>
  </si>
  <si>
    <t>Сила ветра JSON</t>
  </si>
  <si>
    <t>Давление JSON</t>
  </si>
  <si>
    <t>Температура Исх</t>
  </si>
  <si>
    <t>Явление</t>
  </si>
  <si>
    <t>Иконка JSON</t>
  </si>
  <si>
    <t>ПУТЬ К ТЕКСТОВЫМ ФАЙЛАМ:</t>
  </si>
  <si>
    <t>НАЗВАНИЕ ТЕКСТОВИКОВ:</t>
  </si>
  <si>
    <t>Внимаение! В конце пути должен стоять "\"</t>
  </si>
  <si>
    <t>ПУТЬ К ФАЙЛУ ЭКСПОРТА ДЛЯ AE</t>
  </si>
  <si>
    <t>Пример: \\TRANSFER02\Pogoda\TXT\ или D:\Pogoda\TXT\</t>
  </si>
  <si>
    <t>ЗДЕСЬ ПРОПИСЫВАЕМ НАЗВАНИЯ ГОРОДОВ:</t>
  </si>
  <si>
    <t xml:space="preserve">Таблица: дни недели </t>
  </si>
  <si>
    <t>Города 1</t>
  </si>
  <si>
    <t>Города 2</t>
  </si>
  <si>
    <t>Таблица: явления погоды</t>
  </si>
  <si>
    <t>Таблица: ветер</t>
  </si>
  <si>
    <t>Направление</t>
  </si>
  <si>
    <t>Именительный</t>
  </si>
  <si>
    <t>Винительный</t>
  </si>
  <si>
    <t>Ветер + сокращение</t>
  </si>
  <si>
    <t>ветер С</t>
  </si>
  <si>
    <t>ветер СЗ</t>
  </si>
  <si>
    <t>ветер СВ</t>
  </si>
  <si>
    <t>ветер З</t>
  </si>
  <si>
    <t>ветер ЮЗ</t>
  </si>
  <si>
    <t>ветер ЮВ</t>
  </si>
  <si>
    <t>ветер Ю</t>
  </si>
  <si>
    <t>ветер В</t>
  </si>
  <si>
    <t>Таблица: облачность</t>
  </si>
  <si>
    <t>Название</t>
  </si>
  <si>
    <t>Иконка день</t>
  </si>
  <si>
    <t>Иконка ночь</t>
  </si>
  <si>
    <t>Таблица: названия иконок для JSON</t>
  </si>
  <si>
    <t>ДИКТОРУ</t>
  </si>
  <si>
    <t>НБ</t>
  </si>
  <si>
    <t>Attention! Копировать только через кнопки (слева) или сочетания клавиш Ctr+C - Ctr+V</t>
  </si>
  <si>
    <t xml:space="preserve"> Небольшая облачность</t>
  </si>
  <si>
    <t xml:space="preserve"> Ясно</t>
  </si>
  <si>
    <t xml:space="preserve"> Переменная облачность</t>
  </si>
  <si>
    <t xml:space="preserve"> Облачно с прояснениями</t>
  </si>
  <si>
    <t xml:space="preserve"> Облачно</t>
  </si>
  <si>
    <t>Дата исх1:</t>
  </si>
  <si>
    <t>Дата исх2:</t>
  </si>
  <si>
    <t>Дата код1:</t>
  </si>
  <si>
    <t>Дата код2:</t>
  </si>
  <si>
    <t>День код 1:</t>
  </si>
  <si>
    <t>День код 2:</t>
  </si>
  <si>
    <t>ДенНедТекст1:</t>
  </si>
  <si>
    <t>ДенНедТекст2 :</t>
  </si>
  <si>
    <t>ДеньНедСк1 JSON:</t>
  </si>
  <si>
    <t>ДеньНедСк2 JSON:</t>
  </si>
  <si>
    <t>ДатаТекст1 JSON:</t>
  </si>
  <si>
    <t>ДатаТекст2 JSON:</t>
  </si>
  <si>
    <t>ДатаДень1 JSON:</t>
  </si>
  <si>
    <t>ДатаДень2 JSON:</t>
  </si>
  <si>
    <t xml:space="preserve"> День + ДММ1 JSON:</t>
  </si>
  <si>
    <t xml:space="preserve"> Ночь + ДММ1 JSON:</t>
  </si>
  <si>
    <t xml:space="preserve"> День + ДММ2 JSON:</t>
  </si>
  <si>
    <t xml:space="preserve"> Ночь + ДММ2 JSON:</t>
  </si>
  <si>
    <t>Сцепка ДН JSON:</t>
  </si>
  <si>
    <t>ЛИСТ С ДАННЫМИ:</t>
  </si>
  <si>
    <t>ОБЛАСТЬ С ДАННЫМИ:</t>
  </si>
  <si>
    <t>VoiceDataAT</t>
  </si>
  <si>
    <t>A1:AX22</t>
  </si>
  <si>
    <t>VoiceDataT</t>
  </si>
  <si>
    <t>NBData</t>
  </si>
  <si>
    <t>НАЗВАНИЕ ФАЙЛА:</t>
  </si>
  <si>
    <t>MeteoData</t>
  </si>
  <si>
    <t>JSONData</t>
  </si>
  <si>
    <t>city</t>
  </si>
  <si>
    <t>TempDayT</t>
  </si>
  <si>
    <t>TempNightAT</t>
  </si>
  <si>
    <t>TempDayAT</t>
  </si>
  <si>
    <t>TempNightT</t>
  </si>
  <si>
    <t>IconDayT</t>
  </si>
  <si>
    <t>IconDayAT</t>
  </si>
  <si>
    <t>IconNightT</t>
  </si>
  <si>
    <t>IconNightAT</t>
  </si>
  <si>
    <t>WindDayT</t>
  </si>
  <si>
    <t>WindDayAT</t>
  </si>
  <si>
    <t>WindNightT</t>
  </si>
  <si>
    <t>WindNightAT</t>
  </si>
  <si>
    <t>ForceDayT</t>
  </si>
  <si>
    <t>ForceNightT</t>
  </si>
  <si>
    <t>PressureDayT</t>
  </si>
  <si>
    <t>PressureDayAT</t>
  </si>
  <si>
    <t>PressureNightT</t>
  </si>
  <si>
    <t>PressureNightAT</t>
  </si>
  <si>
    <t>ddmmmT</t>
  </si>
  <si>
    <t>ddmmmAT</t>
  </si>
  <si>
    <t>ddmmmTxtT</t>
  </si>
  <si>
    <t>ddmmmTxtAT</t>
  </si>
  <si>
    <t>DayDdMmT</t>
  </si>
  <si>
    <t>TxtDataT</t>
  </si>
  <si>
    <t>TxtDataAT</t>
  </si>
  <si>
    <t>NightDdMmT</t>
  </si>
  <si>
    <t>DayDdMmAT</t>
  </si>
  <si>
    <t>NightDdMmAT</t>
  </si>
  <si>
    <t>TxtTxtData</t>
  </si>
  <si>
    <t>ForceDayAT</t>
  </si>
  <si>
    <t>ForceNightAT</t>
  </si>
  <si>
    <t xml:space="preserve">Погода в </t>
  </si>
  <si>
    <t>Сцепка города</t>
  </si>
  <si>
    <t>Сцепка столица</t>
  </si>
  <si>
    <t>TxtMulticity</t>
  </si>
  <si>
    <t>TxtCapital</t>
  </si>
  <si>
    <t>Сцепка источник</t>
  </si>
  <si>
    <t>TxtSuorce</t>
  </si>
  <si>
    <t>По информации</t>
  </si>
  <si>
    <t>График</t>
  </si>
  <si>
    <t>График без дроби</t>
  </si>
  <si>
    <t xml:space="preserve">График </t>
  </si>
  <si>
    <t>Graf</t>
  </si>
  <si>
    <t>Ветер НАЦ JSON</t>
  </si>
  <si>
    <t>Сила НАЦ JSON</t>
  </si>
  <si>
    <t>Давлен НАЦ JSON</t>
  </si>
  <si>
    <t>Города 1 НАЦ</t>
  </si>
  <si>
    <t>Города 2 НАЦ</t>
  </si>
  <si>
    <t>Региональный центр НАЦ</t>
  </si>
  <si>
    <t>Именительный НАЦ</t>
  </si>
  <si>
    <t>Винительный НАЦ</t>
  </si>
  <si>
    <t>Ветер + сокращение НАЦ</t>
  </si>
  <si>
    <t>Название НАЦ</t>
  </si>
  <si>
    <t>iconSun.mov</t>
  </si>
  <si>
    <t>iconSunCloud.mov</t>
  </si>
  <si>
    <t>iconCloudSun.mov</t>
  </si>
  <si>
    <t>iconClouds.mov</t>
  </si>
  <si>
    <t>iconMoon.mov</t>
  </si>
  <si>
    <t>iconMoonCloud.mov</t>
  </si>
  <si>
    <t>iconCloudMoon.mov</t>
  </si>
  <si>
    <t>iconCloudSunRainLight.mov</t>
  </si>
  <si>
    <t>iconCloudSunRainMedium.mov</t>
  </si>
  <si>
    <t>iconCloudSunRainHeavy.mov</t>
  </si>
  <si>
    <t>iconCloudSunSnowLight.mov</t>
  </si>
  <si>
    <t>iconCloudSunSnowMedium.mov</t>
  </si>
  <si>
    <t>iconCloudSunSnowHeavy.mov</t>
  </si>
  <si>
    <t>iconCloudSunSnowRain.mov</t>
  </si>
  <si>
    <t>iconCloudSunStorm.mov</t>
  </si>
  <si>
    <t>iconCloudMoonRainLight.mov</t>
  </si>
  <si>
    <t>iconCloudMoonRainMedium.mov</t>
  </si>
  <si>
    <t>iconCloudMoonRainHeavy.mov</t>
  </si>
  <si>
    <t>iconCloudMoonSnowLight.mov</t>
  </si>
  <si>
    <t>iconCloudMoonSnowMedium.mov</t>
  </si>
  <si>
    <t>iconCloudMoonSnowHeavy.mov</t>
  </si>
  <si>
    <t>iconCloudMoonSnowRain.mov</t>
  </si>
  <si>
    <t>iconCloudMoonStorm.mov</t>
  </si>
  <si>
    <t xml:space="preserve"> </t>
  </si>
  <si>
    <t>iconRainLight.mov</t>
  </si>
  <si>
    <t>iconRainMedium.mov</t>
  </si>
  <si>
    <t>iconRainHeavy.mov</t>
  </si>
  <si>
    <t>iconSnowLight.mov</t>
  </si>
  <si>
    <t>iconSnowMedium.mov</t>
  </si>
  <si>
    <t>iconSnowHeavy.mov</t>
  </si>
  <si>
    <t>iconSnowRain.mov</t>
  </si>
  <si>
    <t>iconStorm.mov</t>
  </si>
  <si>
    <t>A1:R18</t>
  </si>
  <si>
    <t>Прогноз погоды / данные для диктора</t>
  </si>
  <si>
    <t>Прогноз погоды / данные для ньюсбара</t>
  </si>
  <si>
    <t>Омск</t>
  </si>
  <si>
    <t>Усть-Ишим</t>
  </si>
  <si>
    <t>Тара</t>
  </si>
  <si>
    <t>Тюкалинск</t>
  </si>
  <si>
    <t>Большеречье</t>
  </si>
  <si>
    <t>Исилькуль</t>
  </si>
  <si>
    <t>Калачинск</t>
  </si>
  <si>
    <t>Полтавка</t>
  </si>
  <si>
    <t>Русская Поляна</t>
  </si>
  <si>
    <t>Черлак</t>
  </si>
  <si>
    <t>Омской области</t>
  </si>
  <si>
    <t>Омске</t>
  </si>
  <si>
    <t>c:\WORK_2020\POGODA\</t>
  </si>
  <si>
    <t>Называевск</t>
  </si>
  <si>
    <t>Саргатское</t>
  </si>
  <si>
    <t>Павлоградка</t>
  </si>
  <si>
    <t>Тевриз</t>
  </si>
  <si>
    <t>Одесское</t>
  </si>
  <si>
    <t>Омского гидрометцентра</t>
  </si>
  <si>
    <t>3</t>
  </si>
  <si>
    <t>4.10.2024</t>
  </si>
  <si>
    <t>5.10.2024</t>
  </si>
  <si>
    <t>Юго-Западный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</si>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</sst>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C19]d\ mmmm"/>
    <numFmt numFmtId="165" formatCode="\+#,##0\°;\-#,##0\°;0\°"/>
    <numFmt numFmtId="166" formatCode="@\ &quot;м/с&quot;"/>
    <numFmt numFmtId="167" formatCode="#&quot; мм&quot;"/>
    <numFmt numFmtId="168" formatCode="&quot;День, &quot;d/mm"/>
    <numFmt numFmtId="169" formatCode="#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7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4"/>
      <color theme="1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2"/>
      <color theme="1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7"/>
      <color theme="0" tint="-0.24997711111789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7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8"/>
      <color rgb="FF9933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19">
    <xf numFmtId="0" fontId="0" fillId="0" borderId="0" xfId="0"/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Protection="1"/>
    <xf numFmtId="0" fontId="0" fillId="3" borderId="0" xfId="0" applyFill="1" applyProtection="1"/>
    <xf numFmtId="0" fontId="0" fillId="3" borderId="5" xfId="0" applyFill="1" applyBorder="1" applyAlignment="1" applyProtection="1">
      <alignment vertical="center"/>
    </xf>
    <xf numFmtId="0" fontId="0" fillId="3" borderId="0" xfId="0" applyFill="1" applyBorder="1" applyAlignment="1" applyProtection="1"/>
    <xf numFmtId="0" fontId="0" fillId="3" borderId="0" xfId="0" applyFill="1" applyBorder="1" applyAlignment="1" applyProtection="1">
      <alignment horizontal="right"/>
    </xf>
    <xf numFmtId="0" fontId="0" fillId="3" borderId="0" xfId="0" applyFill="1" applyAlignment="1" applyProtection="1">
      <alignment horizontal="right"/>
    </xf>
    <xf numFmtId="0" fontId="3" fillId="3" borderId="0" xfId="0" applyFont="1" applyFill="1" applyBorder="1" applyAlignment="1" applyProtection="1">
      <alignment horizontal="left" vertical="center"/>
    </xf>
    <xf numFmtId="0" fontId="3" fillId="3" borderId="0" xfId="0" applyFont="1" applyFill="1" applyBorder="1" applyProtection="1"/>
    <xf numFmtId="0" fontId="3" fillId="3" borderId="0" xfId="0" applyFont="1" applyFill="1" applyProtection="1"/>
    <xf numFmtId="0" fontId="0" fillId="3" borderId="6" xfId="0" applyFill="1" applyBorder="1" applyProtection="1"/>
    <xf numFmtId="0" fontId="0" fillId="3" borderId="15" xfId="0" applyFill="1" applyBorder="1"/>
    <xf numFmtId="0" fontId="0" fillId="3" borderId="15" xfId="0" applyFill="1" applyBorder="1" applyProtection="1"/>
    <xf numFmtId="0" fontId="3" fillId="3" borderId="15" xfId="0" applyFon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vertical="center"/>
    </xf>
    <xf numFmtId="0" fontId="0" fillId="3" borderId="14" xfId="0" applyFill="1" applyBorder="1"/>
    <xf numFmtId="0" fontId="0" fillId="3" borderId="6" xfId="0" applyFill="1" applyBorder="1"/>
    <xf numFmtId="0" fontId="0" fillId="3" borderId="18" xfId="0" applyFill="1" applyBorder="1"/>
    <xf numFmtId="0" fontId="0" fillId="3" borderId="16" xfId="0" applyFill="1" applyBorder="1"/>
    <xf numFmtId="0" fontId="10" fillId="4" borderId="0" xfId="0" applyFont="1" applyFill="1" applyBorder="1" applyProtection="1"/>
    <xf numFmtId="0" fontId="10" fillId="4" borderId="0" xfId="0" applyFont="1" applyFill="1" applyBorder="1" applyAlignment="1" applyProtection="1">
      <alignment vertical="center"/>
    </xf>
    <xf numFmtId="0" fontId="11" fillId="4" borderId="0" xfId="0" applyFont="1" applyFill="1" applyBorder="1" applyAlignment="1" applyProtection="1">
      <alignment horizontal="center" vertical="center"/>
    </xf>
    <xf numFmtId="0" fontId="10" fillId="4" borderId="5" xfId="0" applyFont="1" applyFill="1" applyBorder="1" applyProtection="1"/>
    <xf numFmtId="0" fontId="10" fillId="4" borderId="0" xfId="0" applyFont="1" applyFill="1" applyProtection="1"/>
    <xf numFmtId="0" fontId="11" fillId="4" borderId="5" xfId="0" applyFont="1" applyFill="1" applyBorder="1" applyAlignment="1" applyProtection="1">
      <alignment horizontal="center" vertical="center"/>
    </xf>
    <xf numFmtId="0" fontId="10" fillId="4" borderId="0" xfId="0" applyFont="1" applyFill="1" applyAlignment="1" applyProtection="1">
      <alignment horizontal="center"/>
    </xf>
    <xf numFmtId="0" fontId="10" fillId="4" borderId="6" xfId="0" applyFont="1" applyFill="1" applyBorder="1" applyProtection="1"/>
    <xf numFmtId="0" fontId="11" fillId="4" borderId="12" xfId="0" applyFont="1" applyFill="1" applyBorder="1" applyAlignment="1" applyProtection="1">
      <alignment horizontal="center" vertical="center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166" fontId="0" fillId="3" borderId="0" xfId="0" applyNumberFormat="1" applyFill="1"/>
    <xf numFmtId="168" fontId="0" fillId="3" borderId="0" xfId="0" applyNumberFormat="1" applyFill="1" applyBorder="1" applyAlignment="1">
      <alignment horizontal="left"/>
    </xf>
    <xf numFmtId="169" fontId="1" fillId="3" borderId="1" xfId="0" applyNumberFormat="1" applyFont="1" applyFill="1" applyBorder="1" applyAlignment="1">
      <alignment horizontal="left"/>
    </xf>
    <xf numFmtId="1" fontId="0" fillId="3" borderId="1" xfId="0" applyNumberFormat="1" applyFill="1" applyBorder="1" applyAlignment="1">
      <alignment horizontal="left"/>
    </xf>
    <xf numFmtId="1" fontId="0" fillId="3" borderId="26" xfId="0" applyNumberFormat="1" applyFill="1" applyBorder="1" applyAlignment="1">
      <alignment horizontal="left"/>
    </xf>
    <xf numFmtId="0" fontId="1" fillId="3" borderId="26" xfId="0" applyFont="1" applyFill="1" applyBorder="1" applyAlignment="1">
      <alignment horizontal="left"/>
    </xf>
    <xf numFmtId="0" fontId="1" fillId="3" borderId="24" xfId="0" applyFont="1" applyFill="1" applyBorder="1" applyAlignment="1">
      <alignment horizontal="left"/>
    </xf>
    <xf numFmtId="0" fontId="0" fillId="4" borderId="0" xfId="0" applyFill="1"/>
    <xf numFmtId="0" fontId="1" fillId="4" borderId="1" xfId="0" applyFont="1" applyFill="1" applyBorder="1"/>
    <xf numFmtId="0" fontId="0" fillId="3" borderId="23" xfId="0" applyFont="1" applyFill="1" applyBorder="1"/>
    <xf numFmtId="49" fontId="0" fillId="3" borderId="23" xfId="0" applyNumberFormat="1" applyFill="1" applyBorder="1"/>
    <xf numFmtId="0" fontId="0" fillId="3" borderId="23" xfId="0" applyFill="1" applyBorder="1" applyAlignment="1">
      <alignment horizontal="left"/>
    </xf>
    <xf numFmtId="1" fontId="0" fillId="3" borderId="23" xfId="0" applyNumberFormat="1" applyFill="1" applyBorder="1" applyAlignment="1">
      <alignment horizontal="left"/>
    </xf>
    <xf numFmtId="1" fontId="0" fillId="3" borderId="25" xfId="0" applyNumberFormat="1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4" borderId="0" xfId="0" applyFill="1"/>
    <xf numFmtId="0" fontId="0" fillId="5" borderId="1" xfId="0" applyFill="1" applyBorder="1"/>
    <xf numFmtId="0" fontId="0" fillId="5" borderId="0" xfId="0" applyFill="1"/>
    <xf numFmtId="0" fontId="0" fillId="5" borderId="13" xfId="0" applyFill="1" applyBorder="1"/>
    <xf numFmtId="1" fontId="0" fillId="5" borderId="1" xfId="0" applyNumberFormat="1" applyFill="1" applyBorder="1" applyAlignment="1">
      <alignment horizontal="left"/>
    </xf>
    <xf numFmtId="0" fontId="0" fillId="3" borderId="22" xfId="0" applyNumberFormat="1" applyFill="1" applyBorder="1" applyAlignment="1">
      <alignment horizontal="left"/>
    </xf>
    <xf numFmtId="0" fontId="0" fillId="2" borderId="41" xfId="0" applyFill="1" applyBorder="1" applyProtection="1">
      <protection locked="0"/>
    </xf>
    <xf numFmtId="0" fontId="0" fillId="2" borderId="42" xfId="0" applyFill="1" applyBorder="1" applyProtection="1">
      <protection locked="0"/>
    </xf>
    <xf numFmtId="0" fontId="0" fillId="3" borderId="17" xfId="0" applyFill="1" applyBorder="1" applyProtection="1"/>
    <xf numFmtId="0" fontId="0" fillId="3" borderId="18" xfId="0" applyFill="1" applyBorder="1" applyProtection="1"/>
    <xf numFmtId="0" fontId="0" fillId="3" borderId="16" xfId="0" applyFill="1" applyBorder="1" applyProtection="1"/>
    <xf numFmtId="0" fontId="0" fillId="3" borderId="11" xfId="0" applyFill="1" applyBorder="1" applyProtection="1"/>
    <xf numFmtId="0" fontId="0" fillId="3" borderId="13" xfId="0" applyFill="1" applyBorder="1" applyProtection="1"/>
    <xf numFmtId="0" fontId="0" fillId="3" borderId="9" xfId="0" applyFill="1" applyBorder="1" applyProtection="1"/>
    <xf numFmtId="0" fontId="1" fillId="3" borderId="40" xfId="0" applyFont="1" applyFill="1" applyBorder="1" applyProtection="1"/>
    <xf numFmtId="0" fontId="0" fillId="3" borderId="8" xfId="0" applyFill="1" applyBorder="1" applyAlignment="1" applyProtection="1">
      <alignment horizontal="left" vertical="top"/>
    </xf>
    <xf numFmtId="0" fontId="0" fillId="3" borderId="14" xfId="0" applyFill="1" applyBorder="1" applyProtection="1"/>
    <xf numFmtId="0" fontId="0" fillId="3" borderId="7" xfId="0" applyFill="1" applyBorder="1" applyProtection="1"/>
    <xf numFmtId="0" fontId="13" fillId="3" borderId="11" xfId="1" applyNumberFormat="1" applyFont="1" applyFill="1" applyBorder="1" applyProtection="1"/>
    <xf numFmtId="0" fontId="0" fillId="3" borderId="1" xfId="0" applyFill="1" applyBorder="1" applyProtection="1"/>
    <xf numFmtId="0" fontId="0" fillId="4" borderId="16" xfId="0" applyFill="1" applyBorder="1" applyProtection="1"/>
    <xf numFmtId="0" fontId="0" fillId="4" borderId="0" xfId="0" applyFill="1" applyProtection="1"/>
    <xf numFmtId="0" fontId="0" fillId="3" borderId="19" xfId="0" applyFill="1" applyBorder="1" applyProtection="1"/>
    <xf numFmtId="0" fontId="0" fillId="4" borderId="20" xfId="0" applyFill="1" applyBorder="1" applyProtection="1"/>
    <xf numFmtId="0" fontId="0" fillId="4" borderId="21" xfId="0" applyFill="1" applyBorder="1" applyProtection="1"/>
    <xf numFmtId="0" fontId="0" fillId="3" borderId="20" xfId="0" applyFill="1" applyBorder="1" applyProtection="1"/>
    <xf numFmtId="0" fontId="0" fillId="3" borderId="21" xfId="0" applyFill="1" applyBorder="1" applyProtection="1"/>
    <xf numFmtId="0" fontId="2" fillId="3" borderId="7" xfId="0" applyFont="1" applyFill="1" applyBorder="1" applyAlignment="1" applyProtection="1"/>
    <xf numFmtId="0" fontId="2" fillId="3" borderId="39" xfId="0" applyFont="1" applyFill="1" applyBorder="1" applyAlignment="1" applyProtection="1"/>
    <xf numFmtId="0" fontId="2" fillId="3" borderId="8" xfId="0" applyFont="1" applyFill="1" applyBorder="1" applyAlignment="1" applyProtection="1"/>
    <xf numFmtId="0" fontId="0" fillId="3" borderId="4" xfId="0" applyFill="1" applyBorder="1" applyAlignment="1" applyProtection="1">
      <alignment horizontal="left"/>
    </xf>
    <xf numFmtId="0" fontId="0" fillId="3" borderId="1" xfId="0" applyFont="1" applyFill="1" applyBorder="1" applyAlignment="1" applyProtection="1"/>
    <xf numFmtId="0" fontId="0" fillId="3" borderId="2" xfId="0" applyFont="1" applyFill="1" applyBorder="1" applyAlignment="1" applyProtection="1"/>
    <xf numFmtId="0" fontId="0" fillId="3" borderId="1" xfId="0" applyFill="1" applyBorder="1" applyAlignment="1" applyProtection="1"/>
    <xf numFmtId="0" fontId="0" fillId="3" borderId="9" xfId="0" applyFill="1" applyBorder="1" applyAlignment="1" applyProtection="1">
      <alignment horizontal="left"/>
    </xf>
    <xf numFmtId="0" fontId="0" fillId="3" borderId="10" xfId="0" applyFill="1" applyBorder="1" applyAlignment="1" applyProtection="1"/>
    <xf numFmtId="0" fontId="0" fillId="3" borderId="11" xfId="0" applyFont="1" applyFill="1" applyBorder="1" applyAlignment="1" applyProtection="1"/>
    <xf numFmtId="0" fontId="0" fillId="3" borderId="8" xfId="0" applyFill="1" applyBorder="1" applyProtection="1"/>
    <xf numFmtId="0" fontId="0" fillId="3" borderId="4" xfId="0" applyFill="1" applyBorder="1" applyProtection="1"/>
    <xf numFmtId="0" fontId="0" fillId="3" borderId="2" xfId="0" applyFill="1" applyBorder="1" applyProtection="1"/>
    <xf numFmtId="166" fontId="0" fillId="3" borderId="0" xfId="0" applyNumberFormat="1" applyFill="1" applyProtection="1"/>
    <xf numFmtId="0" fontId="1" fillId="3" borderId="10" xfId="0" applyFont="1" applyFill="1" applyBorder="1" applyProtection="1"/>
    <xf numFmtId="0" fontId="0" fillId="4" borderId="15" xfId="0" applyFill="1" applyBorder="1" applyProtection="1"/>
    <xf numFmtId="0" fontId="0" fillId="3" borderId="0" xfId="0" applyFill="1" applyBorder="1" applyAlignment="1" applyProtection="1">
      <alignment horizontal="left"/>
    </xf>
    <xf numFmtId="0" fontId="0" fillId="2" borderId="1" xfId="0" applyFill="1" applyBorder="1" applyProtection="1">
      <protection locked="0"/>
    </xf>
    <xf numFmtId="0" fontId="0" fillId="3" borderId="3" xfId="0" applyFill="1" applyBorder="1" applyProtection="1"/>
    <xf numFmtId="0" fontId="0" fillId="3" borderId="12" xfId="0" applyFill="1" applyBorder="1" applyAlignment="1" applyProtection="1">
      <alignment vertical="center"/>
    </xf>
    <xf numFmtId="0" fontId="0" fillId="3" borderId="2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3" borderId="14" xfId="0" applyFill="1" applyBorder="1" applyAlignment="1">
      <alignment horizontal="right"/>
    </xf>
    <xf numFmtId="0" fontId="0" fillId="3" borderId="24" xfId="0" applyFill="1" applyBorder="1" applyAlignment="1">
      <alignment horizontal="right"/>
    </xf>
    <xf numFmtId="1" fontId="0" fillId="3" borderId="0" xfId="0" applyNumberFormat="1" applyFill="1"/>
    <xf numFmtId="0" fontId="1" fillId="3" borderId="24" xfId="0" applyNumberFormat="1" applyFont="1" applyFill="1" applyBorder="1" applyAlignment="1">
      <alignment horizontal="left"/>
    </xf>
    <xf numFmtId="49" fontId="0" fillId="3" borderId="1" xfId="0" applyNumberFormat="1" applyFont="1" applyFill="1" applyBorder="1" applyAlignment="1">
      <alignment horizontal="left"/>
    </xf>
    <xf numFmtId="49" fontId="0" fillId="3" borderId="0" xfId="0" applyNumberFormat="1" applyFill="1" applyBorder="1"/>
    <xf numFmtId="49" fontId="0" fillId="3" borderId="6" xfId="0" applyNumberFormat="1" applyFill="1" applyBorder="1"/>
    <xf numFmtId="49" fontId="0" fillId="3" borderId="14" xfId="0" applyNumberFormat="1" applyFill="1" applyBorder="1"/>
    <xf numFmtId="49" fontId="0" fillId="3" borderId="0" xfId="0" applyNumberFormat="1" applyFill="1"/>
    <xf numFmtId="49" fontId="0" fillId="4" borderId="0" xfId="0" applyNumberFormat="1" applyFill="1"/>
    <xf numFmtId="0" fontId="0" fillId="3" borderId="35" xfId="0" applyNumberFormat="1" applyFill="1" applyBorder="1" applyProtection="1"/>
    <xf numFmtId="0" fontId="0" fillId="3" borderId="36" xfId="0" applyNumberFormat="1" applyFill="1" applyBorder="1" applyProtection="1"/>
    <xf numFmtId="0" fontId="0" fillId="3" borderId="37" xfId="0" applyNumberFormat="1" applyFill="1" applyBorder="1" applyProtection="1"/>
    <xf numFmtId="0" fontId="0" fillId="3" borderId="27" xfId="0" applyNumberFormat="1" applyFill="1" applyBorder="1" applyProtection="1"/>
    <xf numFmtId="0" fontId="0" fillId="3" borderId="28" xfId="0" applyNumberFormat="1" applyFill="1" applyBorder="1" applyProtection="1"/>
    <xf numFmtId="0" fontId="0" fillId="3" borderId="29" xfId="0" applyNumberFormat="1" applyFill="1" applyBorder="1" applyProtection="1"/>
    <xf numFmtId="0" fontId="0" fillId="3" borderId="30" xfId="0" applyNumberFormat="1" applyFill="1" applyBorder="1" applyProtection="1"/>
    <xf numFmtId="0" fontId="0" fillId="3" borderId="1" xfId="0" applyNumberFormat="1" applyFill="1" applyBorder="1" applyProtection="1"/>
    <xf numFmtId="0" fontId="0" fillId="3" borderId="31" xfId="0" applyNumberFormat="1" applyFill="1" applyBorder="1" applyProtection="1"/>
    <xf numFmtId="0" fontId="0" fillId="3" borderId="32" xfId="0" applyNumberFormat="1" applyFill="1" applyBorder="1" applyProtection="1"/>
    <xf numFmtId="0" fontId="0" fillId="3" borderId="33" xfId="0" applyNumberFormat="1" applyFill="1" applyBorder="1" applyProtection="1"/>
    <xf numFmtId="0" fontId="0" fillId="3" borderId="34" xfId="0" applyNumberFormat="1" applyFill="1" applyBorder="1" applyProtection="1"/>
    <xf numFmtId="49" fontId="0" fillId="3" borderId="44" xfId="0" applyNumberFormat="1" applyFill="1" applyBorder="1" applyAlignment="1">
      <alignment horizontal="left" vertical="center"/>
    </xf>
    <xf numFmtId="0" fontId="0" fillId="3" borderId="43" xfId="0" applyFill="1" applyBorder="1" applyAlignment="1">
      <alignment horizontal="right" vertical="center"/>
    </xf>
    <xf numFmtId="0" fontId="0" fillId="3" borderId="45" xfId="0" applyFill="1" applyBorder="1" applyAlignment="1">
      <alignment horizontal="right" vertical="center"/>
    </xf>
    <xf numFmtId="49" fontId="0" fillId="3" borderId="46" xfId="0" applyNumberFormat="1" applyFill="1" applyBorder="1" applyAlignment="1">
      <alignment horizontal="left" vertical="center"/>
    </xf>
    <xf numFmtId="0" fontId="0" fillId="3" borderId="44" xfId="0" applyNumberFormat="1" applyFill="1" applyBorder="1" applyAlignment="1">
      <alignment horizontal="left" vertical="center"/>
    </xf>
    <xf numFmtId="0" fontId="0" fillId="3" borderId="46" xfId="0" applyNumberFormat="1" applyFill="1" applyBorder="1" applyAlignment="1">
      <alignment horizontal="left" vertical="center"/>
    </xf>
    <xf numFmtId="0" fontId="0" fillId="3" borderId="44" xfId="0" applyFill="1" applyBorder="1" applyAlignment="1">
      <alignment horizontal="left" vertical="center"/>
    </xf>
    <xf numFmtId="0" fontId="0" fillId="3" borderId="46" xfId="0" applyFill="1" applyBorder="1" applyAlignment="1">
      <alignment horizontal="left" vertical="center"/>
    </xf>
    <xf numFmtId="49" fontId="0" fillId="3" borderId="43" xfId="0" applyNumberFormat="1" applyFill="1" applyBorder="1" applyAlignment="1">
      <alignment horizontal="right" vertical="center"/>
    </xf>
    <xf numFmtId="49" fontId="0" fillId="3" borderId="45" xfId="0" applyNumberFormat="1" applyFill="1" applyBorder="1" applyAlignment="1">
      <alignment horizontal="right" vertical="center"/>
    </xf>
    <xf numFmtId="0" fontId="1" fillId="3" borderId="44" xfId="0" applyNumberFormat="1" applyFont="1" applyFill="1" applyBorder="1" applyAlignment="1">
      <alignment horizontal="left" vertical="center"/>
    </xf>
    <xf numFmtId="0" fontId="1" fillId="3" borderId="46" xfId="0" applyNumberFormat="1" applyFont="1" applyFill="1" applyBorder="1" applyAlignment="1">
      <alignment horizontal="left" vertical="center"/>
    </xf>
    <xf numFmtId="49" fontId="1" fillId="3" borderId="43" xfId="0" applyNumberFormat="1" applyFont="1" applyFill="1" applyBorder="1" applyAlignment="1">
      <alignment horizontal="right" vertical="center"/>
    </xf>
    <xf numFmtId="49" fontId="1" fillId="3" borderId="45" xfId="0" applyNumberFormat="1" applyFont="1" applyFill="1" applyBorder="1" applyAlignment="1">
      <alignment horizontal="right" vertical="center"/>
    </xf>
    <xf numFmtId="0" fontId="1" fillId="3" borderId="44" xfId="0" applyFont="1" applyFill="1" applyBorder="1"/>
    <xf numFmtId="0" fontId="1" fillId="3" borderId="46" xfId="0" applyFont="1" applyFill="1" applyBorder="1"/>
    <xf numFmtId="0" fontId="1" fillId="3" borderId="43" xfId="0" applyFont="1" applyFill="1" applyBorder="1" applyAlignment="1">
      <alignment horizontal="right"/>
    </xf>
    <xf numFmtId="0" fontId="1" fillId="3" borderId="45" xfId="0" applyFont="1" applyFill="1" applyBorder="1" applyAlignment="1">
      <alignment horizontal="right"/>
    </xf>
    <xf numFmtId="0" fontId="1" fillId="3" borderId="47" xfId="0" applyFont="1" applyFill="1" applyBorder="1" applyAlignment="1">
      <alignment horizontal="right"/>
    </xf>
    <xf numFmtId="0" fontId="1" fillId="3" borderId="48" xfId="0" applyFont="1" applyFill="1" applyBorder="1"/>
    <xf numFmtId="0" fontId="0" fillId="3" borderId="1" xfId="0" applyFill="1" applyBorder="1" applyAlignment="1" applyProtection="1">
      <alignment horizontal="right"/>
    </xf>
    <xf numFmtId="0" fontId="0" fillId="3" borderId="5" xfId="0" applyFill="1" applyBorder="1" applyProtection="1"/>
    <xf numFmtId="0" fontId="0" fillId="3" borderId="49" xfId="0" applyFill="1" applyBorder="1" applyProtection="1"/>
    <xf numFmtId="0" fontId="0" fillId="4" borderId="50" xfId="0" applyFill="1" applyBorder="1" applyProtection="1"/>
    <xf numFmtId="49" fontId="0" fillId="3" borderId="26" xfId="0" applyNumberFormat="1" applyFont="1" applyFill="1" applyBorder="1" applyAlignment="1">
      <alignment horizontal="left"/>
    </xf>
    <xf numFmtId="0" fontId="1" fillId="3" borderId="51" xfId="0" applyNumberFormat="1" applyFont="1" applyFill="1" applyBorder="1" applyAlignment="1">
      <alignment horizontal="left"/>
    </xf>
    <xf numFmtId="0" fontId="0" fillId="5" borderId="1" xfId="0" applyNumberFormat="1" applyFill="1" applyBorder="1"/>
    <xf numFmtId="0" fontId="0" fillId="4" borderId="5" xfId="0" applyFill="1" applyBorder="1" applyProtection="1"/>
    <xf numFmtId="0" fontId="8" fillId="2" borderId="0" xfId="0" applyNumberFormat="1" applyFont="1" applyFill="1" applyBorder="1" applyAlignment="1">
      <alignment vertical="center"/>
    </xf>
    <xf numFmtId="0" fontId="0" fillId="2" borderId="0" xfId="0" applyNumberFormat="1" applyFill="1" applyAlignment="1">
      <alignment vertical="center"/>
    </xf>
    <xf numFmtId="0" fontId="9" fillId="2" borderId="0" xfId="0" applyNumberFormat="1" applyFont="1" applyFill="1" applyAlignment="1">
      <alignment vertical="center"/>
    </xf>
    <xf numFmtId="0" fontId="4" fillId="2" borderId="0" xfId="0" applyNumberFormat="1" applyFont="1" applyFill="1" applyBorder="1" applyAlignment="1">
      <alignment vertical="center"/>
    </xf>
    <xf numFmtId="0" fontId="0" fillId="2" borderId="0" xfId="0" applyNumberFormat="1" applyFill="1" applyBorder="1" applyAlignment="1">
      <alignment vertical="center"/>
    </xf>
    <xf numFmtId="0" fontId="9" fillId="2" borderId="0" xfId="0" applyNumberFormat="1" applyFont="1" applyFill="1" applyAlignment="1">
      <alignment horizontal="left" vertical="center"/>
    </xf>
    <xf numFmtId="0" fontId="9" fillId="2" borderId="0" xfId="0" applyNumberFormat="1" applyFont="1" applyFill="1" applyBorder="1" applyAlignment="1">
      <alignment horizontal="left" vertical="center"/>
    </xf>
    <xf numFmtId="0" fontId="9" fillId="2" borderId="0" xfId="0" applyNumberFormat="1" applyFont="1" applyFill="1" applyBorder="1" applyAlignment="1">
      <alignment vertical="center"/>
    </xf>
    <xf numFmtId="0" fontId="9" fillId="2" borderId="3" xfId="0" applyNumberFormat="1" applyFont="1" applyFill="1" applyBorder="1" applyAlignment="1">
      <alignment vertical="center"/>
    </xf>
    <xf numFmtId="0" fontId="9" fillId="2" borderId="13" xfId="0" applyNumberFormat="1" applyFont="1" applyFill="1" applyBorder="1" applyAlignment="1">
      <alignment vertical="center"/>
    </xf>
    <xf numFmtId="0" fontId="9" fillId="2" borderId="0" xfId="0" applyNumberFormat="1" applyFont="1" applyFill="1" applyAlignment="1">
      <alignment horizontal="center" vertical="center"/>
    </xf>
    <xf numFmtId="0" fontId="6" fillId="2" borderId="0" xfId="0" applyNumberFormat="1" applyFont="1" applyFill="1" applyAlignment="1">
      <alignment vertical="center"/>
    </xf>
    <xf numFmtId="0" fontId="6" fillId="2" borderId="0" xfId="0" applyNumberFormat="1" applyFont="1" applyFill="1" applyBorder="1" applyAlignment="1">
      <alignment vertical="center"/>
    </xf>
    <xf numFmtId="0" fontId="0" fillId="2" borderId="0" xfId="0" applyNumberFormat="1" applyFill="1" applyAlignment="1">
      <alignment horizontal="left" vertical="center"/>
    </xf>
    <xf numFmtId="0" fontId="0" fillId="2" borderId="0" xfId="0" applyNumberFormat="1" applyFill="1" applyBorder="1" applyAlignment="1">
      <alignment horizontal="left" vertical="center"/>
    </xf>
    <xf numFmtId="0" fontId="8" fillId="2" borderId="0" xfId="0" applyNumberFormat="1" applyFont="1" applyFill="1" applyBorder="1" applyAlignment="1"/>
    <xf numFmtId="0" fontId="0" fillId="2" borderId="0" xfId="0" applyNumberFormat="1" applyFill="1" applyAlignment="1"/>
    <xf numFmtId="0" fontId="9" fillId="2" borderId="0" xfId="0" applyNumberFormat="1" applyFont="1" applyFill="1" applyAlignment="1"/>
    <xf numFmtId="0" fontId="4" fillId="2" borderId="0" xfId="0" applyNumberFormat="1" applyFont="1" applyFill="1" applyBorder="1" applyAlignment="1"/>
    <xf numFmtId="0" fontId="0" fillId="2" borderId="0" xfId="0" applyNumberFormat="1" applyFill="1" applyBorder="1" applyAlignment="1"/>
    <xf numFmtId="0" fontId="9" fillId="2" borderId="0" xfId="0" applyNumberFormat="1" applyFont="1" applyFill="1" applyAlignment="1">
      <alignment horizontal="left"/>
    </xf>
    <xf numFmtId="0" fontId="9" fillId="2" borderId="0" xfId="0" applyNumberFormat="1" applyFont="1" applyFill="1" applyBorder="1" applyAlignment="1">
      <alignment horizontal="left"/>
    </xf>
    <xf numFmtId="0" fontId="9" fillId="2" borderId="0" xfId="0" applyNumberFormat="1" applyFont="1" applyFill="1" applyBorder="1" applyAlignment="1"/>
    <xf numFmtId="0" fontId="9" fillId="2" borderId="3" xfId="0" applyNumberFormat="1" applyFont="1" applyFill="1" applyBorder="1" applyAlignment="1"/>
    <xf numFmtId="0" fontId="9" fillId="2" borderId="13" xfId="0" applyNumberFormat="1" applyFont="1" applyFill="1" applyBorder="1" applyAlignment="1"/>
    <xf numFmtId="0" fontId="9" fillId="2" borderId="0" xfId="0" applyNumberFormat="1" applyFont="1" applyFill="1" applyAlignment="1">
      <alignment horizontal="center"/>
    </xf>
    <xf numFmtId="0" fontId="6" fillId="2" borderId="0" xfId="0" applyNumberFormat="1" applyFont="1" applyFill="1" applyAlignment="1"/>
    <xf numFmtId="0" fontId="6" fillId="2" borderId="0" xfId="0" applyNumberFormat="1" applyFont="1" applyFill="1" applyBorder="1" applyAlignment="1"/>
    <xf numFmtId="0" fontId="0" fillId="2" borderId="0" xfId="0" applyNumberFormat="1" applyFill="1" applyAlignment="1">
      <alignment horizontal="left"/>
    </xf>
    <xf numFmtId="0" fontId="0" fillId="2" borderId="0" xfId="0" applyNumberFormat="1" applyFill="1" applyBorder="1" applyAlignment="1">
      <alignment horizontal="left"/>
    </xf>
    <xf numFmtId="0" fontId="5" fillId="2" borderId="0" xfId="0" applyNumberFormat="1" applyFont="1" applyFill="1" applyBorder="1" applyAlignment="1">
      <alignment vertical="center"/>
    </xf>
    <xf numFmtId="0" fontId="0" fillId="2" borderId="0" xfId="0" applyNumberFormat="1" applyFill="1"/>
    <xf numFmtId="0" fontId="0" fillId="2" borderId="0" xfId="0" applyNumberFormat="1" applyFill="1" applyBorder="1"/>
    <xf numFmtId="0" fontId="7" fillId="2" borderId="0" xfId="0" applyNumberFormat="1" applyFont="1" applyFill="1" applyBorder="1" applyAlignment="1">
      <alignment vertical="center"/>
    </xf>
    <xf numFmtId="0" fontId="6" fillId="2" borderId="5" xfId="0" applyNumberFormat="1" applyFont="1" applyFill="1" applyBorder="1" applyAlignment="1">
      <alignment vertical="center"/>
    </xf>
    <xf numFmtId="0" fontId="0" fillId="2" borderId="13" xfId="0" applyNumberFormat="1" applyFill="1" applyBorder="1" applyAlignment="1">
      <alignment vertical="center"/>
    </xf>
    <xf numFmtId="0" fontId="0" fillId="4" borderId="20" xfId="0" applyFill="1" applyBorder="1"/>
    <xf numFmtId="0" fontId="0" fillId="3" borderId="52" xfId="0" applyFill="1" applyBorder="1" applyAlignment="1">
      <alignment horizontal="right"/>
    </xf>
    <xf numFmtId="0" fontId="0" fillId="4" borderId="0" xfId="0" applyFill="1" applyBorder="1"/>
    <xf numFmtId="0" fontId="0" fillId="4" borderId="1" xfId="0" applyFill="1" applyBorder="1" applyAlignment="1">
      <alignment horizontal="right"/>
    </xf>
    <xf numFmtId="0" fontId="0" fillId="4" borderId="15" xfId="0" applyFill="1" applyBorder="1"/>
    <xf numFmtId="0" fontId="0" fillId="4" borderId="16" xfId="0" applyFill="1" applyBorder="1"/>
    <xf numFmtId="0" fontId="0" fillId="4" borderId="19" xfId="0" applyFill="1" applyBorder="1"/>
    <xf numFmtId="0" fontId="0" fillId="4" borderId="21" xfId="0" applyFill="1" applyBorder="1"/>
    <xf numFmtId="0" fontId="0" fillId="3" borderId="6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/>
      <protection locked="0"/>
    </xf>
    <xf numFmtId="0" fontId="0" fillId="3" borderId="2" xfId="0" applyFont="1" applyFill="1" applyBorder="1" applyAlignment="1">
      <alignment horizontal="left"/>
    </xf>
    <xf numFmtId="1" fontId="0" fillId="3" borderId="2" xfId="0" applyNumberFormat="1" applyFont="1" applyFill="1" applyBorder="1" applyAlignment="1">
      <alignment horizontal="left"/>
    </xf>
    <xf numFmtId="1" fontId="0" fillId="3" borderId="38" xfId="0" applyNumberFormat="1" applyFont="1" applyFill="1" applyBorder="1" applyAlignment="1">
      <alignment horizontal="left"/>
    </xf>
    <xf numFmtId="0" fontId="0" fillId="3" borderId="53" xfId="0" applyFill="1" applyBorder="1"/>
    <xf numFmtId="1" fontId="0" fillId="3" borderId="54" xfId="0" applyNumberFormat="1" applyFill="1" applyBorder="1"/>
    <xf numFmtId="0" fontId="0" fillId="3" borderId="2" xfId="0" applyNumberFormat="1" applyFont="1" applyFill="1" applyBorder="1" applyAlignment="1">
      <alignment horizontal="left"/>
    </xf>
    <xf numFmtId="0" fontId="0" fillId="3" borderId="1" xfId="0" applyNumberFormat="1" applyFill="1" applyBorder="1" applyAlignment="1">
      <alignment horizontal="left"/>
    </xf>
    <xf numFmtId="0" fontId="0" fillId="3" borderId="26" xfId="0" applyNumberFormat="1" applyFill="1" applyBorder="1" applyAlignment="1">
      <alignment horizontal="left"/>
    </xf>
    <xf numFmtId="1" fontId="0" fillId="3" borderId="55" xfId="0" applyNumberFormat="1" applyFill="1" applyBorder="1"/>
    <xf numFmtId="0" fontId="0" fillId="3" borderId="26" xfId="0" applyNumberFormat="1" applyFont="1" applyFill="1" applyBorder="1" applyAlignment="1">
      <alignment horizontal="left"/>
    </xf>
    <xf numFmtId="0" fontId="0" fillId="3" borderId="56" xfId="0" applyNumberFormat="1" applyFill="1" applyBorder="1" applyAlignment="1"/>
    <xf numFmtId="0" fontId="0" fillId="3" borderId="15" xfId="0" applyNumberFormat="1" applyFill="1" applyBorder="1" applyAlignment="1"/>
    <xf numFmtId="0" fontId="0" fillId="3" borderId="56" xfId="0" applyNumberFormat="1" applyFill="1" applyBorder="1" applyAlignment="1">
      <alignment horizontal="left"/>
    </xf>
    <xf numFmtId="0" fontId="0" fillId="3" borderId="1" xfId="0" applyFill="1" applyBorder="1"/>
    <xf numFmtId="49" fontId="0" fillId="3" borderId="1" xfId="0" applyNumberFormat="1" applyFill="1" applyBorder="1"/>
    <xf numFmtId="0" fontId="0" fillId="2" borderId="1" xfId="0" applyFill="1" applyBorder="1" applyAlignment="1" applyProtection="1">
      <alignment horizontal="right"/>
      <protection locked="0"/>
    </xf>
    <xf numFmtId="0" fontId="1" fillId="3" borderId="0" xfId="0" applyFont="1" applyFill="1" applyBorder="1" applyProtection="1"/>
    <xf numFmtId="0" fontId="0" fillId="3" borderId="0" xfId="0" applyNumberFormat="1" applyFill="1" applyBorder="1" applyProtection="1"/>
    <xf numFmtId="0" fontId="0" fillId="4" borderId="0" xfId="0" applyFill="1" applyBorder="1" applyProtection="1">
      <protection locked="0"/>
    </xf>
    <xf numFmtId="0" fontId="0" fillId="3" borderId="39" xfId="0" applyFill="1" applyBorder="1" applyProtection="1"/>
    <xf numFmtId="0" fontId="0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0" fontId="0" fillId="2" borderId="10" xfId="0" applyFill="1" applyBorder="1" applyAlignment="1" applyProtection="1">
      <alignment horizontal="left"/>
      <protection locked="0"/>
    </xf>
    <xf numFmtId="0" fontId="0" fillId="2" borderId="10" xfId="0" applyFill="1" applyBorder="1" applyAlignment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6" fillId="2" borderId="2" xfId="0" applyNumberFormat="1" applyFont="1" applyFill="1" applyBorder="1" applyAlignment="1">
      <alignment horizontal="left" vertical="center"/>
    </xf>
    <xf numFmtId="0" fontId="6" fillId="2" borderId="2" xfId="0" applyNumberFormat="1" applyFont="1" applyFill="1" applyBorder="1" applyAlignment="1">
      <alignment vertical="center"/>
    </xf>
    <xf numFmtId="49" fontId="6" fillId="2" borderId="0" xfId="0" applyNumberFormat="1" applyFont="1" applyFill="1" applyBorder="1" applyAlignment="1">
      <alignment vertical="center"/>
    </xf>
    <xf numFmtId="0" fontId="7" fillId="2" borderId="5" xfId="0" applyNumberFormat="1" applyFont="1" applyFill="1" applyBorder="1" applyAlignment="1">
      <alignment vertical="center"/>
    </xf>
    <xf numFmtId="49" fontId="6" fillId="2" borderId="5" xfId="0" applyNumberFormat="1" applyFont="1" applyFill="1" applyBorder="1" applyAlignment="1">
      <alignment vertical="center"/>
    </xf>
    <xf numFmtId="0" fontId="7" fillId="2" borderId="1" xfId="0" applyNumberFormat="1" applyFont="1" applyFill="1" applyBorder="1" applyAlignment="1">
      <alignment vertical="center"/>
    </xf>
    <xf numFmtId="49" fontId="6" fillId="2" borderId="1" xfId="0" applyNumberFormat="1" applyFont="1" applyFill="1" applyBorder="1" applyAlignment="1">
      <alignment vertical="center"/>
    </xf>
    <xf numFmtId="49" fontId="3" fillId="2" borderId="2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4" xfId="0" applyNumberFormat="1" applyFont="1" applyFill="1" applyBorder="1" applyAlignment="1" applyProtection="1">
      <alignment horizontal="center" vertical="center"/>
      <protection locked="0"/>
    </xf>
    <xf numFmtId="165" fontId="3" fillId="2" borderId="2" xfId="0" applyNumberFormat="1" applyFont="1" applyFill="1" applyBorder="1" applyAlignment="1" applyProtection="1">
      <alignment horizontal="center" vertical="center"/>
      <protection locked="0"/>
    </xf>
    <xf numFmtId="165" fontId="3" fillId="2" borderId="3" xfId="0" applyNumberFormat="1" applyFont="1" applyFill="1" applyBorder="1" applyAlignment="1" applyProtection="1">
      <alignment horizontal="center" vertical="center"/>
      <protection locked="0"/>
    </xf>
    <xf numFmtId="165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</xf>
    <xf numFmtId="164" fontId="0" fillId="3" borderId="3" xfId="0" applyNumberFormat="1" applyFill="1" applyBorder="1" applyAlignment="1" applyProtection="1">
      <alignment horizontal="center" vertical="center"/>
    </xf>
    <xf numFmtId="164" fontId="0" fillId="3" borderId="4" xfId="0" applyNumberFormat="1" applyFill="1" applyBorder="1" applyAlignment="1" applyProtection="1">
      <alignment horizontal="center" vertical="center"/>
    </xf>
    <xf numFmtId="0" fontId="3" fillId="3" borderId="2" xfId="0" applyFont="1" applyFill="1" applyBorder="1" applyAlignment="1" applyProtection="1">
      <alignment horizontal="right" vertical="center"/>
    </xf>
    <xf numFmtId="0" fontId="3" fillId="3" borderId="3" xfId="0" applyFont="1" applyFill="1" applyBorder="1" applyAlignment="1" applyProtection="1">
      <alignment horizontal="right" vertical="center"/>
    </xf>
    <xf numFmtId="0" fontId="3" fillId="3" borderId="4" xfId="0" applyFont="1" applyFill="1" applyBorder="1" applyAlignment="1" applyProtection="1">
      <alignment horizontal="right" vertical="center"/>
    </xf>
    <xf numFmtId="0" fontId="0" fillId="3" borderId="2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/>
    </xf>
    <xf numFmtId="0" fontId="0" fillId="3" borderId="3" xfId="0" applyFill="1" applyBorder="1" applyAlignment="1" applyProtection="1">
      <alignment horizontal="center"/>
    </xf>
    <xf numFmtId="0" fontId="0" fillId="3" borderId="4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49" fontId="3" fillId="0" borderId="2" xfId="0" applyNumberFormat="1" applyFont="1" applyBorder="1" applyAlignment="1" applyProtection="1">
      <alignment horizontal="center" vertical="center"/>
      <protection locked="0"/>
    </xf>
    <xf numFmtId="49" fontId="3" fillId="0" borderId="3" xfId="0" applyNumberFormat="1" applyFont="1" applyBorder="1" applyAlignment="1" applyProtection="1">
      <alignment horizontal="center" vertical="center"/>
      <protection locked="0"/>
    </xf>
    <xf numFmtId="49" fontId="3" fillId="0" borderId="4" xfId="0" applyNumberFormat="1" applyFont="1" applyBorder="1" applyAlignment="1" applyProtection="1">
      <alignment horizontal="center" vertical="center"/>
      <protection locked="0"/>
    </xf>
    <xf numFmtId="166" fontId="3" fillId="0" borderId="2" xfId="0" applyNumberFormat="1" applyFont="1" applyBorder="1" applyAlignment="1" applyProtection="1">
      <alignment horizontal="center" vertical="center"/>
      <protection locked="0"/>
    </xf>
    <xf numFmtId="166" fontId="3" fillId="0" borderId="3" xfId="0" applyNumberFormat="1" applyFont="1" applyBorder="1" applyAlignment="1" applyProtection="1">
      <alignment horizontal="center" vertical="center"/>
      <protection locked="0"/>
    </xf>
    <xf numFmtId="166" fontId="3" fillId="0" borderId="4" xfId="0" applyNumberFormat="1" applyFont="1" applyBorder="1" applyAlignment="1" applyProtection="1">
      <alignment horizontal="center" vertical="center"/>
      <protection locked="0"/>
    </xf>
    <xf numFmtId="167" fontId="3" fillId="2" borderId="3" xfId="0" applyNumberFormat="1" applyFont="1" applyFill="1" applyBorder="1" applyAlignment="1" applyProtection="1">
      <alignment horizontal="center" vertical="center"/>
      <protection locked="0"/>
    </xf>
    <xf numFmtId="167" fontId="3" fillId="2" borderId="4" xfId="0" applyNumberFormat="1" applyFont="1" applyFill="1" applyBorder="1" applyAlignment="1" applyProtection="1">
      <alignment horizontal="center" vertical="center"/>
      <protection locked="0"/>
    </xf>
    <xf numFmtId="49" fontId="0" fillId="3" borderId="2" xfId="0" applyNumberFormat="1" applyFill="1" applyBorder="1" applyAlignment="1" applyProtection="1">
      <alignment horizontal="center" vertical="center"/>
      <protection locked="0"/>
    </xf>
    <xf numFmtId="49" fontId="0" fillId="3" borderId="3" xfId="0" applyNumberFormat="1" applyFill="1" applyBorder="1" applyAlignment="1" applyProtection="1">
      <alignment horizontal="center" vertical="center"/>
      <protection locked="0"/>
    </xf>
    <xf numFmtId="49" fontId="0" fillId="3" borderId="4" xfId="0" applyNumberFormat="1" applyFill="1" applyBorder="1" applyAlignment="1" applyProtection="1">
      <alignment horizontal="center" vertical="center"/>
      <protection locked="0"/>
    </xf>
    <xf numFmtId="0" fontId="3" fillId="3" borderId="2" xfId="0" applyNumberFormat="1" applyFont="1" applyFill="1" applyBorder="1" applyAlignment="1" applyProtection="1">
      <alignment horizontal="right" vertical="center"/>
    </xf>
    <xf numFmtId="0" fontId="3" fillId="3" borderId="3" xfId="0" applyNumberFormat="1" applyFont="1" applyFill="1" applyBorder="1" applyAlignment="1" applyProtection="1">
      <alignment horizontal="right" vertical="center"/>
    </xf>
    <xf numFmtId="0" fontId="3" fillId="3" borderId="4" xfId="0" applyNumberFormat="1" applyFont="1" applyFill="1" applyBorder="1" applyAlignment="1" applyProtection="1">
      <alignment horizontal="right" vertical="center"/>
    </xf>
    <xf numFmtId="49" fontId="14" fillId="2" borderId="3" xfId="0" applyNumberFormat="1" applyFont="1" applyFill="1" applyBorder="1" applyAlignment="1" applyProtection="1">
      <alignment horizontal="center" vertical="center"/>
      <protection locked="0"/>
    </xf>
    <xf numFmtId="49" fontId="14" fillId="2" borderId="4" xfId="0" applyNumberFormat="1" applyFont="1" applyFill="1" applyBorder="1" applyAlignment="1" applyProtection="1">
      <alignment horizontal="center" vertical="center"/>
      <protection locked="0"/>
    </xf>
    <xf numFmtId="49" fontId="3" fillId="2" borderId="2" xfId="0" applyNumberFormat="1" applyFont="1" applyFill="1" applyBorder="1" applyAlignment="1" applyProtection="1">
      <alignment horizontal="center" vertical="center"/>
      <protection locked="0" hidden="1"/>
    </xf>
    <xf numFmtId="49" fontId="3" fillId="2" borderId="3" xfId="0" applyNumberFormat="1" applyFont="1" applyFill="1" applyBorder="1" applyAlignment="1" applyProtection="1">
      <alignment horizontal="center" vertical="center"/>
      <protection locked="0" hidden="1"/>
    </xf>
    <xf numFmtId="49" fontId="3" fillId="2" borderId="4" xfId="0" applyNumberFormat="1" applyFont="1" applyFill="1" applyBorder="1" applyAlignment="1" applyProtection="1">
      <alignment horizontal="center" vertical="center"/>
      <protection locked="0" hidden="1"/>
    </xf>
    <xf numFmtId="0" fontId="0" fillId="3" borderId="6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12" fillId="2" borderId="2" xfId="1" applyNumberFormat="1" applyFill="1" applyBorder="1" applyAlignment="1" applyProtection="1">
      <alignment horizontal="left" vertical="center"/>
      <protection locked="0"/>
    </xf>
    <xf numFmtId="0" fontId="12" fillId="2" borderId="4" xfId="1" applyNumberFormat="1" applyFill="1" applyBorder="1" applyAlignment="1" applyProtection="1">
      <alignment horizontal="left" vertical="center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2" borderId="4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0" fontId="0" fillId="3" borderId="14" xfId="0" applyFill="1" applyBorder="1" applyAlignment="1" applyProtection="1">
      <alignment horizontal="left" vertical="center"/>
    </xf>
    <xf numFmtId="0" fontId="8" fillId="2" borderId="0" xfId="0" applyNumberFormat="1" applyFont="1" applyFill="1" applyBorder="1" applyAlignment="1">
      <alignment horizontal="center" vertical="center"/>
    </xf>
    <xf numFmtId="0" fontId="9" fillId="2" borderId="2" xfId="0" applyNumberFormat="1" applyFont="1" applyFill="1" applyBorder="1" applyAlignment="1">
      <alignment horizontal="left" vertical="center"/>
    </xf>
    <xf numFmtId="0" fontId="9" fillId="2" borderId="3" xfId="0" applyNumberFormat="1" applyFont="1" applyFill="1" applyBorder="1" applyAlignment="1">
      <alignment horizontal="left" vertical="center"/>
    </xf>
    <xf numFmtId="0" fontId="9" fillId="2" borderId="4" xfId="0" applyNumberFormat="1" applyFont="1" applyFill="1" applyBorder="1" applyAlignment="1">
      <alignment horizontal="left" vertical="center"/>
    </xf>
    <xf numFmtId="49" fontId="9" fillId="2" borderId="2" xfId="0" applyNumberFormat="1" applyFont="1" applyFill="1" applyBorder="1" applyAlignment="1">
      <alignment horizontal="left" vertical="center"/>
    </xf>
    <xf numFmtId="49" fontId="0" fillId="0" borderId="2" xfId="0" applyNumberFormat="1" applyBorder="1" applyAlignment="1">
      <alignment horizontal="left"/>
    </xf>
    <xf numFmtId="0" fontId="0" fillId="0" borderId="3" xfId="0" applyNumberFormat="1" applyBorder="1" applyAlignment="1">
      <alignment horizontal="left"/>
    </xf>
    <xf numFmtId="0" fontId="0" fillId="0" borderId="4" xfId="0" applyNumberFormat="1" applyBorder="1" applyAlignment="1">
      <alignment horizontal="left"/>
    </xf>
    <xf numFmtId="0" fontId="4" fillId="2" borderId="2" xfId="0" applyNumberFormat="1" applyFont="1" applyFill="1" applyBorder="1" applyAlignment="1">
      <alignment horizontal="center" vertical="center"/>
    </xf>
    <xf numFmtId="0" fontId="4" fillId="2" borderId="3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9" fillId="2" borderId="2" xfId="0" applyNumberFormat="1" applyFont="1" applyFill="1" applyBorder="1" applyAlignment="1">
      <alignment horizontal="right" vertical="center"/>
    </xf>
    <xf numFmtId="0" fontId="9" fillId="2" borderId="3" xfId="0" applyNumberFormat="1" applyFont="1" applyFill="1" applyBorder="1" applyAlignment="1">
      <alignment horizontal="right" vertical="center"/>
    </xf>
    <xf numFmtId="0" fontId="9" fillId="2" borderId="0" xfId="0" applyNumberFormat="1" applyFont="1" applyFill="1" applyBorder="1" applyAlignment="1">
      <alignment horizontal="left" vertical="center"/>
    </xf>
    <xf numFmtId="0" fontId="9" fillId="2" borderId="2" xfId="0" applyNumberFormat="1" applyFont="1" applyFill="1" applyBorder="1" applyAlignment="1">
      <alignment horizontal="right"/>
    </xf>
    <xf numFmtId="0" fontId="9" fillId="2" borderId="3" xfId="0" applyNumberFormat="1" applyFont="1" applyFill="1" applyBorder="1" applyAlignment="1">
      <alignment horizontal="right"/>
    </xf>
    <xf numFmtId="0" fontId="0" fillId="0" borderId="14" xfId="0" applyNumberFormat="1" applyBorder="1" applyAlignment="1">
      <alignment horizontal="left"/>
    </xf>
    <xf numFmtId="0" fontId="0" fillId="0" borderId="7" xfId="0" applyNumberFormat="1" applyBorder="1" applyAlignment="1">
      <alignment horizontal="left"/>
    </xf>
    <xf numFmtId="0" fontId="0" fillId="0" borderId="1" xfId="0" applyNumberFormat="1" applyBorder="1" applyAlignment="1">
      <alignment horizontal="left" vertical="center"/>
    </xf>
    <xf numFmtId="0" fontId="9" fillId="2" borderId="2" xfId="0" applyNumberFormat="1" applyFont="1" applyFill="1" applyBorder="1" applyAlignment="1">
      <alignment horizontal="left"/>
    </xf>
    <xf numFmtId="0" fontId="9" fillId="2" borderId="3" xfId="0" applyNumberFormat="1" applyFont="1" applyFill="1" applyBorder="1" applyAlignment="1">
      <alignment horizontal="left"/>
    </xf>
    <xf numFmtId="0" fontId="9" fillId="2" borderId="4" xfId="0" applyNumberFormat="1" applyFont="1" applyFill="1" applyBorder="1" applyAlignment="1">
      <alignment horizontal="left"/>
    </xf>
    <xf numFmtId="49" fontId="0" fillId="0" borderId="2" xfId="0" applyNumberFormat="1" applyBorder="1" applyAlignment="1"/>
    <xf numFmtId="0" fontId="0" fillId="0" borderId="3" xfId="0" applyNumberFormat="1" applyBorder="1" applyAlignment="1"/>
    <xf numFmtId="0" fontId="0" fillId="0" borderId="4" xfId="0" applyNumberFormat="1" applyBorder="1" applyAlignment="1"/>
    <xf numFmtId="0" fontId="9" fillId="2" borderId="0" xfId="0" applyNumberFormat="1" applyFont="1" applyFill="1" applyBorder="1" applyAlignment="1">
      <alignment horizontal="left"/>
    </xf>
    <xf numFmtId="49" fontId="0" fillId="0" borderId="2" xfId="0" applyNumberFormat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8" fillId="2" borderId="0" xfId="0" applyNumberFormat="1" applyFont="1" applyFill="1" applyBorder="1" applyAlignment="1">
      <alignment horizontal="center"/>
    </xf>
    <xf numFmtId="0" fontId="4" fillId="2" borderId="2" xfId="0" applyNumberFormat="1" applyFont="1" applyFill="1" applyBorder="1" applyAlignment="1">
      <alignment horizontal="center"/>
    </xf>
    <xf numFmtId="0" fontId="4" fillId="2" borderId="3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6" fillId="2" borderId="2" xfId="0" applyNumberFormat="1" applyFont="1" applyFill="1" applyBorder="1" applyAlignment="1">
      <alignment horizontal="left" vertical="center"/>
    </xf>
    <xf numFmtId="0" fontId="6" fillId="2" borderId="3" xfId="0" applyNumberFormat="1" applyFont="1" applyFill="1" applyBorder="1" applyAlignment="1">
      <alignment horizontal="left" vertical="center"/>
    </xf>
    <xf numFmtId="0" fontId="6" fillId="2" borderId="4" xfId="0" applyNumberFormat="1" applyFont="1" applyFill="1" applyBorder="1" applyAlignment="1">
      <alignment horizontal="left" vertical="center"/>
    </xf>
    <xf numFmtId="0" fontId="5" fillId="2" borderId="0" xfId="0" applyNumberFormat="1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135"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theme="0" tint="-0.2499465926084170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0.24994659260841701"/>
        </patternFill>
      </fill>
      <protection locked="1" hidden="0"/>
    </dxf>
    <dxf>
      <border>
        <bottom style="thin">
          <color auto="1"/>
        </bottom>
      </border>
    </dxf>
    <dxf>
      <fill>
        <patternFill patternType="solid">
          <fgColor indexed="64"/>
          <bgColor theme="0" tint="-0.24994659260841701"/>
        </patternFill>
      </fill>
      <protection locked="1" hidden="0"/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theme="0" tint="-0.2499465926084170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0.24994659260841701"/>
        </patternFill>
      </fill>
      <protection locked="1" hidden="0"/>
    </dxf>
    <dxf>
      <border>
        <bottom style="thin">
          <color auto="1"/>
        </bottom>
      </border>
    </dxf>
    <dxf>
      <fill>
        <patternFill patternType="solid">
          <fgColor indexed="64"/>
          <bgColor theme="0" tint="-0.24994659260841701"/>
        </patternFill>
      </fill>
      <protection locked="1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ill>
        <patternFill patternType="solid">
          <fgColor indexed="64"/>
          <bgColor theme="0" tint="-0.24994659260841701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ill>
        <patternFill patternType="solid">
          <fgColor indexed="64"/>
          <bgColor theme="0" tint="-0.2499465926084170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0.24994659260841701"/>
        </patternFill>
      </fill>
      <protection locked="1" hidden="0"/>
    </dxf>
    <dxf>
      <border>
        <bottom style="thin">
          <color auto="1"/>
        </bottom>
      </border>
    </dxf>
    <dxf>
      <fill>
        <patternFill patternType="solid">
          <fgColor indexed="64"/>
          <bgColor theme="0" tint="-0.24994659260841701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  <protection locked="1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465926084170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465926084170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ill>
        <patternFill patternType="solid">
          <fgColor indexed="64"/>
          <bgColor theme="0" tint="-0.24994659260841701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2499465926084170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  <protection locked="1" hidden="0"/>
    </dxf>
    <dxf>
      <fill>
        <patternFill>
          <bgColor rgb="FFFFFFDD"/>
        </patternFill>
      </fill>
    </dxf>
    <dxf>
      <fill>
        <patternFill>
          <bgColor rgb="FFECF2FA"/>
        </patternFill>
      </fill>
    </dxf>
    <dxf>
      <fill>
        <patternFill>
          <bgColor rgb="FFDDE9F7"/>
        </patternFill>
      </fill>
    </dxf>
    <dxf>
      <fill>
        <patternFill>
          <bgColor theme="3" tint="0.59996337778862885"/>
        </patternFill>
      </fill>
    </dxf>
    <dxf>
      <fill>
        <patternFill>
          <bgColor rgb="FFFFFFDD"/>
        </patternFill>
      </fill>
    </dxf>
    <dxf>
      <fill>
        <patternFill>
          <bgColor rgb="FFECF2FA"/>
        </patternFill>
      </fill>
    </dxf>
    <dxf>
      <fill>
        <patternFill>
          <bgColor rgb="FFDDE9F7"/>
        </patternFill>
      </fill>
    </dxf>
    <dxf>
      <fill>
        <patternFill>
          <bgColor theme="3" tint="0.59996337778862885"/>
        </patternFill>
      </fill>
    </dxf>
    <dxf>
      <fill>
        <patternFill>
          <bgColor rgb="FFFFFFDD"/>
        </patternFill>
      </fill>
    </dxf>
    <dxf>
      <fill>
        <patternFill>
          <bgColor rgb="FFECF2FA"/>
        </patternFill>
      </fill>
    </dxf>
    <dxf>
      <fill>
        <patternFill>
          <bgColor rgb="FFDDE9F7"/>
        </patternFill>
      </fill>
    </dxf>
    <dxf>
      <fill>
        <patternFill>
          <bgColor theme="3" tint="0.59996337778862885"/>
        </patternFill>
      </fill>
    </dxf>
    <dxf>
      <fill>
        <patternFill>
          <bgColor rgb="FFFFFFDD"/>
        </patternFill>
      </fill>
    </dxf>
    <dxf>
      <fill>
        <patternFill>
          <bgColor rgb="FFECF2FA"/>
        </patternFill>
      </fill>
    </dxf>
    <dxf>
      <fill>
        <patternFill>
          <bgColor rgb="FFDDE9F7"/>
        </patternFill>
      </fill>
    </dxf>
    <dxf>
      <fill>
        <patternFill>
          <bgColor theme="3" tint="0.59996337778862885"/>
        </patternFill>
      </fill>
    </dxf>
    <dxf>
      <fill>
        <patternFill>
          <bgColor rgb="FFFFFFDD"/>
        </patternFill>
      </fill>
    </dxf>
    <dxf>
      <fill>
        <patternFill>
          <bgColor rgb="FFECF2FA"/>
        </patternFill>
      </fill>
    </dxf>
    <dxf>
      <fill>
        <patternFill>
          <bgColor rgb="FFDDE9F7"/>
        </patternFill>
      </fill>
    </dxf>
    <dxf>
      <fill>
        <patternFill>
          <bgColor theme="3" tint="0.59996337778862885"/>
        </patternFill>
      </fill>
    </dxf>
    <dxf>
      <fill>
        <patternFill>
          <bgColor rgb="FFFFFFDD"/>
        </patternFill>
      </fill>
    </dxf>
    <dxf>
      <fill>
        <patternFill>
          <bgColor rgb="FFECF2FA"/>
        </patternFill>
      </fill>
    </dxf>
    <dxf>
      <fill>
        <patternFill>
          <bgColor rgb="FFDDE9F7"/>
        </patternFill>
      </fill>
    </dxf>
    <dxf>
      <fill>
        <patternFill>
          <bgColor theme="3" tint="0.59996337778862885"/>
        </patternFill>
      </fill>
    </dxf>
    <dxf>
      <fill>
        <patternFill>
          <bgColor rgb="FFFFFFDD"/>
        </patternFill>
      </fill>
    </dxf>
    <dxf>
      <fill>
        <patternFill>
          <bgColor rgb="FFECF2FA"/>
        </patternFill>
      </fill>
    </dxf>
    <dxf>
      <fill>
        <patternFill>
          <bgColor rgb="FFDDE9F7"/>
        </patternFill>
      </fill>
    </dxf>
    <dxf>
      <fill>
        <patternFill>
          <bgColor theme="3" tint="0.59996337778862885"/>
        </patternFill>
      </fill>
    </dxf>
    <dxf>
      <fill>
        <patternFill>
          <bgColor rgb="FFFFFFDD"/>
        </patternFill>
      </fill>
    </dxf>
    <dxf>
      <fill>
        <patternFill>
          <bgColor rgb="FFECF2FA"/>
        </patternFill>
      </fill>
    </dxf>
    <dxf>
      <fill>
        <patternFill>
          <bgColor rgb="FFDDE9F7"/>
        </patternFill>
      </fill>
    </dxf>
    <dxf>
      <fill>
        <patternFill>
          <bgColor theme="3" tint="0.59996337778862885"/>
        </patternFill>
      </fill>
    </dxf>
    <dxf>
      <fill>
        <patternFill>
          <bgColor rgb="FFFFFFDD"/>
        </patternFill>
      </fill>
    </dxf>
    <dxf>
      <fill>
        <patternFill>
          <bgColor rgb="FFECF2FA"/>
        </patternFill>
      </fill>
    </dxf>
    <dxf>
      <fill>
        <patternFill>
          <bgColor rgb="FFDDE9F7"/>
        </patternFill>
      </fill>
    </dxf>
    <dxf>
      <fill>
        <patternFill>
          <bgColor theme="3" tint="0.59996337778862885"/>
        </patternFill>
      </fill>
    </dxf>
    <dxf>
      <fill>
        <patternFill>
          <bgColor rgb="FFFFFFDD"/>
        </patternFill>
      </fill>
    </dxf>
    <dxf>
      <fill>
        <patternFill>
          <bgColor rgb="FFECF2FA"/>
        </patternFill>
      </fill>
    </dxf>
    <dxf>
      <fill>
        <patternFill>
          <bgColor rgb="FFDDE9F7"/>
        </patternFill>
      </fill>
    </dxf>
    <dxf>
      <fill>
        <patternFill>
          <bgColor theme="3" tint="0.59996337778862885"/>
        </patternFill>
      </fill>
    </dxf>
    <dxf>
      <fill>
        <patternFill>
          <bgColor rgb="FFFFFFDD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FFFFDD"/>
        </patternFill>
      </fill>
    </dxf>
    <dxf>
      <fill>
        <patternFill>
          <bgColor rgb="FFECF2FA"/>
        </patternFill>
      </fill>
    </dxf>
    <dxf>
      <fill>
        <patternFill>
          <bgColor rgb="FFDDE9F7"/>
        </patternFill>
      </fill>
    </dxf>
    <dxf>
      <fill>
        <patternFill>
          <bgColor theme="3" tint="0.5999633777886288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DD"/>
      <color rgb="FFDDE9F7"/>
      <color rgb="FFECF2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127</xdr:col>
          <xdr:colOff>38100</xdr:colOff>
          <xdr:row>20</xdr:row>
          <xdr:rowOff>161925</xdr:rowOff>
        </xdr:from>
        <xdr:to>
          <xdr:col>149</xdr:col>
          <xdr:colOff>47625</xdr:colOff>
          <xdr:row>22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Экспорт данных для AE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127</xdr:col>
          <xdr:colOff>38100</xdr:colOff>
          <xdr:row>22</xdr:row>
          <xdr:rowOff>190500</xdr:rowOff>
        </xdr:from>
        <xdr:to>
          <xdr:col>149</xdr:col>
          <xdr:colOff>47625</xdr:colOff>
          <xdr:row>25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Экспорт данных для диктора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(завтра)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127</xdr:col>
          <xdr:colOff>38100</xdr:colOff>
          <xdr:row>25</xdr:row>
          <xdr:rowOff>123825</xdr:rowOff>
        </xdr:from>
        <xdr:to>
          <xdr:col>149</xdr:col>
          <xdr:colOff>47625</xdr:colOff>
          <xdr:row>28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Экспорт данных для НБ 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(завтра)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127</xdr:col>
          <xdr:colOff>38100</xdr:colOff>
          <xdr:row>28</xdr:row>
          <xdr:rowOff>190500</xdr:rowOff>
        </xdr:from>
        <xdr:to>
          <xdr:col>149</xdr:col>
          <xdr:colOff>47625</xdr:colOff>
          <xdr:row>30</xdr:row>
          <xdr:rowOff>238125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Экспорт данных для диктора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(послезавтра)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127</xdr:col>
          <xdr:colOff>38100</xdr:colOff>
          <xdr:row>0</xdr:row>
          <xdr:rowOff>114300</xdr:rowOff>
        </xdr:from>
        <xdr:to>
          <xdr:col>149</xdr:col>
          <xdr:colOff>47625</xdr:colOff>
          <xdr:row>3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Экспортировать 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28575</xdr:colOff>
          <xdr:row>1</xdr:row>
          <xdr:rowOff>9525</xdr:rowOff>
        </xdr:from>
        <xdr:to>
          <xdr:col>54</xdr:col>
          <xdr:colOff>57150</xdr:colOff>
          <xdr:row>2</xdr:row>
          <xdr:rowOff>9525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76200</xdr:colOff>
          <xdr:row>1</xdr:row>
          <xdr:rowOff>9525</xdr:rowOff>
        </xdr:from>
        <xdr:to>
          <xdr:col>63</xdr:col>
          <xdr:colOff>104775</xdr:colOff>
          <xdr:row>2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Вставить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28575</xdr:colOff>
          <xdr:row>24</xdr:row>
          <xdr:rowOff>0</xdr:rowOff>
        </xdr:from>
        <xdr:to>
          <xdr:col>54</xdr:col>
          <xdr:colOff>57150</xdr:colOff>
          <xdr:row>25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76200</xdr:colOff>
          <xdr:row>24</xdr:row>
          <xdr:rowOff>0</xdr:rowOff>
        </xdr:from>
        <xdr:to>
          <xdr:col>63</xdr:col>
          <xdr:colOff>104775</xdr:colOff>
          <xdr:row>25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Вставить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Таблица4" displayName="Таблица4" ref="C20:G27" totalsRowShown="0" headerRowDxfId="31" dataDxfId="29" headerRowBorderDxfId="30" tableBorderDxfId="28" totalsRowBorderDxfId="27">
  <autoFilter ref="C20:G27"/>
  <tableColumns count="5">
    <tableColumn id="1" name="Код" dataDxfId="26"/>
    <tableColumn id="2" name="Именительный" dataDxfId="25"/>
    <tableColumn id="3" name="Винительный" dataDxfId="24"/>
    <tableColumn id="4" name="Именительный НАЦ" dataDxfId="23"/>
    <tableColumn id="5" name="Винительный НАЦ" dataDxfId="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C32:E40" totalsRowShown="0" headerRowDxfId="21" dataDxfId="19" headerRowBorderDxfId="20" tableBorderDxfId="18" totalsRowBorderDxfId="17">
  <autoFilter ref="C32:E40"/>
  <tableColumns count="3">
    <tableColumn id="1" name="Направление" dataDxfId="16"/>
    <tableColumn id="2" name="Ветер + сокращение" dataDxfId="15"/>
    <tableColumn id="3" name="Ветер + сокращение НАЦ" dataDxfId="1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0" name="Таблица10" displayName="Таблица10" ref="C45:D50" totalsRowShown="0" headerRowDxfId="13" dataDxfId="11" headerRowBorderDxfId="12" tableBorderDxfId="10" totalsRowBorderDxfId="9">
  <autoFilter ref="C45:D50"/>
  <tableColumns count="2">
    <tableColumn id="1" name="Название" dataDxfId="8"/>
    <tableColumn id="2" name="Название НАЦ" dataDxfId="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1" name="Таблица11" displayName="Таблица11" ref="C55:D66" totalsRowShown="0" headerRowDxfId="6" dataDxfId="4" headerRowBorderDxfId="5" tableBorderDxfId="3" totalsRowBorderDxfId="2">
  <autoFilter ref="C55:D66"/>
  <tableColumns count="2">
    <tableColumn id="1" name="Название" dataDxfId="1"/>
    <tableColumn id="2" name="Название НАЦ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../../Users/DaletDesign/AppData/Roaming/Microsoft/Excel/TXT/" TargetMode="External"/><Relationship Id="rId7" Type="http://schemas.openxmlformats.org/officeDocument/2006/relationships/table" Target="../tables/table2.xml"/><Relationship Id="rId2" Type="http://schemas.openxmlformats.org/officeDocument/2006/relationships/hyperlink" Target="../../Users/DaletDesign/AppData/Roaming/Microsoft/Excel/TXT/" TargetMode="External"/><Relationship Id="rId1" Type="http://schemas.openxmlformats.org/officeDocument/2006/relationships/hyperlink" Target="../../Users/DaletDesign/AppData/Roaming/Microsoft/Excel/METEODATA/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../../Users/DaletDesign/AppData/Roaming/Microsoft/Excel/TXT/" TargetMode="Externa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C45"/>
  <sheetViews>
    <sheetView tabSelected="1" topLeftCell="A10" zoomScale="70" zoomScaleNormal="70" workbookViewId="0">
      <selection activeCell="CE47" sqref="CE47"/>
    </sheetView>
  </sheetViews>
  <sheetFormatPr defaultColWidth="1.7109375" defaultRowHeight="15" x14ac:dyDescent="0.25"/>
  <cols>
    <col min="1" max="14" width="1.7109375" style="4"/>
    <col min="15" max="15" width="1.7109375" style="4" customWidth="1"/>
    <col min="16" max="19" width="1.7109375" style="4"/>
    <col min="20" max="20" width="1.7109375" style="4" customWidth="1"/>
    <col min="21" max="71" width="1.7109375" style="4"/>
    <col min="72" max="73" width="1.7109375" style="26" customWidth="1"/>
    <col min="74" max="16384" width="1.7109375" style="4"/>
  </cols>
  <sheetData>
    <row r="1" spans="2:154" ht="12.75" customHeigh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22"/>
      <c r="BU1" s="22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14"/>
    </row>
    <row r="2" spans="2:154" ht="24.95" customHeight="1" x14ac:dyDescent="0.25">
      <c r="B2" s="3"/>
      <c r="C2" s="242" t="s">
        <v>0</v>
      </c>
      <c r="D2" s="243"/>
      <c r="E2" s="243"/>
      <c r="F2" s="243"/>
      <c r="G2" s="243"/>
      <c r="H2" s="243"/>
      <c r="I2" s="243"/>
      <c r="J2" s="243"/>
      <c r="K2" s="244"/>
      <c r="L2" s="257" t="s">
        <v>227</v>
      </c>
      <c r="M2" s="258"/>
      <c r="N2" s="258"/>
      <c r="O2" s="258"/>
      <c r="P2" s="258"/>
      <c r="Q2" s="258"/>
      <c r="R2" s="258"/>
      <c r="S2" s="258"/>
      <c r="T2" s="258"/>
      <c r="U2" s="259"/>
      <c r="W2" s="236" t="str">
        <f>UPPER(Service2!C9)</f>
        <v>ПЯТНИЦА</v>
      </c>
      <c r="X2" s="237"/>
      <c r="Y2" s="237"/>
      <c r="Z2" s="237"/>
      <c r="AA2" s="237"/>
      <c r="AB2" s="237"/>
      <c r="AC2" s="237"/>
      <c r="AD2" s="237"/>
      <c r="AE2" s="238"/>
      <c r="AF2" s="5"/>
      <c r="AG2" s="236" t="str">
        <f>Service2!C13</f>
        <v>4 октября</v>
      </c>
      <c r="AH2" s="237"/>
      <c r="AI2" s="237"/>
      <c r="AJ2" s="237"/>
      <c r="AK2" s="237"/>
      <c r="AL2" s="237"/>
      <c r="AM2" s="237"/>
      <c r="AN2" s="237"/>
      <c r="AO2" s="237"/>
      <c r="AP2" s="237"/>
      <c r="AQ2" s="237"/>
      <c r="AR2" s="238"/>
      <c r="AS2" s="6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242" t="s">
        <v>84</v>
      </c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3"/>
      <c r="CA2" s="243"/>
      <c r="CB2" s="243"/>
      <c r="CC2" s="243"/>
      <c r="CD2" s="243"/>
      <c r="CE2" s="243"/>
      <c r="CF2" s="243"/>
      <c r="CG2" s="243"/>
      <c r="CH2" s="243"/>
      <c r="CI2" s="243"/>
      <c r="CJ2" s="243"/>
      <c r="CK2" s="243"/>
      <c r="CL2" s="243"/>
      <c r="CM2" s="243"/>
      <c r="CN2" s="243"/>
      <c r="CO2" s="243"/>
      <c r="CP2" s="243"/>
      <c r="CQ2" s="243"/>
      <c r="CR2" s="243"/>
      <c r="CS2" s="243"/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4"/>
      <c r="DW2" s="14"/>
    </row>
    <row r="3" spans="2:154" x14ac:dyDescent="0.2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2"/>
      <c r="BU3" s="22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14"/>
    </row>
    <row r="4" spans="2:154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245" t="s">
        <v>12</v>
      </c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7"/>
      <c r="BT4" s="22"/>
      <c r="BU4" s="22"/>
      <c r="BV4" s="245" t="s">
        <v>33</v>
      </c>
      <c r="BW4" s="246"/>
      <c r="BX4" s="246"/>
      <c r="BY4" s="246"/>
      <c r="BZ4" s="246"/>
      <c r="CA4" s="246"/>
      <c r="CB4" s="246"/>
      <c r="CC4" s="246"/>
      <c r="CD4" s="246"/>
      <c r="CE4" s="246"/>
      <c r="CF4" s="246"/>
      <c r="CG4" s="246"/>
      <c r="CH4" s="246"/>
      <c r="CI4" s="246"/>
      <c r="CJ4" s="246"/>
      <c r="CK4" s="246"/>
      <c r="CL4" s="246"/>
      <c r="CM4" s="246"/>
      <c r="CN4" s="246"/>
      <c r="CO4" s="246"/>
      <c r="CP4" s="246"/>
      <c r="CQ4" s="246"/>
      <c r="CR4" s="246"/>
      <c r="CS4" s="246"/>
      <c r="CT4" s="246"/>
      <c r="CU4" s="246"/>
      <c r="CV4" s="246"/>
      <c r="CW4" s="246"/>
      <c r="CX4" s="246"/>
      <c r="CY4" s="246"/>
      <c r="CZ4" s="246"/>
      <c r="DA4" s="246"/>
      <c r="DB4" s="246"/>
      <c r="DC4" s="246"/>
      <c r="DD4" s="246"/>
      <c r="DE4" s="246"/>
      <c r="DF4" s="246"/>
      <c r="DG4" s="246"/>
      <c r="DH4" s="246"/>
      <c r="DI4" s="246"/>
      <c r="DJ4" s="246"/>
      <c r="DK4" s="246"/>
      <c r="DL4" s="246"/>
      <c r="DM4" s="246"/>
      <c r="DN4" s="246"/>
      <c r="DO4" s="246"/>
      <c r="DP4" s="246"/>
      <c r="DQ4" s="246"/>
      <c r="DR4" s="246"/>
      <c r="DS4" s="246"/>
      <c r="DT4" s="246"/>
      <c r="DU4" s="247"/>
      <c r="DW4" s="14"/>
    </row>
    <row r="5" spans="2:154" x14ac:dyDescent="0.2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248" t="s">
        <v>34</v>
      </c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2" t="s">
        <v>40</v>
      </c>
      <c r="AM5" s="243"/>
      <c r="AN5" s="243"/>
      <c r="AO5" s="243"/>
      <c r="AP5" s="243"/>
      <c r="AQ5" s="243"/>
      <c r="AR5" s="243"/>
      <c r="AS5" s="243"/>
      <c r="AT5" s="243"/>
      <c r="AU5" s="243"/>
      <c r="AV5" s="243"/>
      <c r="AW5" s="243"/>
      <c r="AX5" s="243"/>
      <c r="AY5" s="243"/>
      <c r="AZ5" s="243"/>
      <c r="BA5" s="243"/>
      <c r="BB5" s="244"/>
      <c r="BC5" s="245" t="s">
        <v>41</v>
      </c>
      <c r="BD5" s="246"/>
      <c r="BE5" s="246"/>
      <c r="BF5" s="246"/>
      <c r="BG5" s="246"/>
      <c r="BH5" s="246"/>
      <c r="BI5" s="246"/>
      <c r="BJ5" s="246"/>
      <c r="BK5" s="246"/>
      <c r="BL5" s="246"/>
      <c r="BM5" s="246"/>
      <c r="BN5" s="246"/>
      <c r="BO5" s="246"/>
      <c r="BP5" s="246"/>
      <c r="BQ5" s="246"/>
      <c r="BR5" s="246"/>
      <c r="BS5" s="247"/>
      <c r="BT5" s="22"/>
      <c r="BU5" s="22"/>
      <c r="BV5" s="248" t="s">
        <v>34</v>
      </c>
      <c r="BW5" s="248"/>
      <c r="BX5" s="248"/>
      <c r="BY5" s="248"/>
      <c r="BZ5" s="248"/>
      <c r="CA5" s="248"/>
      <c r="CB5" s="248"/>
      <c r="CC5" s="248"/>
      <c r="CD5" s="248"/>
      <c r="CE5" s="248"/>
      <c r="CF5" s="248"/>
      <c r="CG5" s="248"/>
      <c r="CH5" s="248"/>
      <c r="CI5" s="248"/>
      <c r="CJ5" s="248"/>
      <c r="CK5" s="248"/>
      <c r="CL5" s="248"/>
      <c r="CM5" s="248"/>
      <c r="CN5" s="242" t="s">
        <v>40</v>
      </c>
      <c r="CO5" s="243"/>
      <c r="CP5" s="243"/>
      <c r="CQ5" s="243"/>
      <c r="CR5" s="243"/>
      <c r="CS5" s="243"/>
      <c r="CT5" s="243"/>
      <c r="CU5" s="243"/>
      <c r="CV5" s="243"/>
      <c r="CW5" s="243"/>
      <c r="CX5" s="243"/>
      <c r="CY5" s="243"/>
      <c r="CZ5" s="243"/>
      <c r="DA5" s="243"/>
      <c r="DB5" s="243"/>
      <c r="DC5" s="243"/>
      <c r="DD5" s="244"/>
      <c r="DE5" s="245" t="s">
        <v>41</v>
      </c>
      <c r="DF5" s="246"/>
      <c r="DG5" s="246"/>
      <c r="DH5" s="246"/>
      <c r="DI5" s="246"/>
      <c r="DJ5" s="246"/>
      <c r="DK5" s="246"/>
      <c r="DL5" s="246"/>
      <c r="DM5" s="246"/>
      <c r="DN5" s="246"/>
      <c r="DO5" s="246"/>
      <c r="DP5" s="246"/>
      <c r="DQ5" s="246"/>
      <c r="DR5" s="246"/>
      <c r="DS5" s="246"/>
      <c r="DT5" s="246"/>
      <c r="DU5" s="247"/>
      <c r="DW5" s="14"/>
    </row>
    <row r="6" spans="2:154" ht="24.95" customHeight="1" x14ac:dyDescent="0.25">
      <c r="B6" s="3"/>
      <c r="C6" s="260" t="str">
        <f>Service1!C6</f>
        <v>Омск</v>
      </c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262"/>
      <c r="T6" s="249" t="s">
        <v>229</v>
      </c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50"/>
      <c r="AG6" s="250"/>
      <c r="AH6" s="250"/>
      <c r="AI6" s="250"/>
      <c r="AJ6" s="250"/>
      <c r="AK6" s="251"/>
      <c r="AL6" s="252" t="s">
        <v>226</v>
      </c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3"/>
      <c r="AX6" s="253"/>
      <c r="AY6" s="253"/>
      <c r="AZ6" s="253"/>
      <c r="BA6" s="253"/>
      <c r="BB6" s="254"/>
      <c r="BC6" s="255">
        <v>760</v>
      </c>
      <c r="BD6" s="255"/>
      <c r="BE6" s="255"/>
      <c r="BF6" s="255"/>
      <c r="BG6" s="255"/>
      <c r="BH6" s="255"/>
      <c r="BI6" s="255"/>
      <c r="BJ6" s="255"/>
      <c r="BK6" s="255"/>
      <c r="BL6" s="255"/>
      <c r="BM6" s="255"/>
      <c r="BN6" s="255"/>
      <c r="BO6" s="255"/>
      <c r="BP6" s="255"/>
      <c r="BQ6" s="255"/>
      <c r="BR6" s="255"/>
      <c r="BS6" s="256"/>
      <c r="BT6" s="24"/>
      <c r="BU6" s="24"/>
      <c r="BV6" s="249" t="s">
        <v>16</v>
      </c>
      <c r="BW6" s="250"/>
      <c r="BX6" s="250"/>
      <c r="BY6" s="250"/>
      <c r="BZ6" s="250"/>
      <c r="CA6" s="250"/>
      <c r="CB6" s="250"/>
      <c r="CC6" s="250"/>
      <c r="CD6" s="250"/>
      <c r="CE6" s="250"/>
      <c r="CF6" s="250"/>
      <c r="CG6" s="250"/>
      <c r="CH6" s="250"/>
      <c r="CI6" s="250"/>
      <c r="CJ6" s="250"/>
      <c r="CK6" s="250"/>
      <c r="CL6" s="250"/>
      <c r="CM6" s="251"/>
      <c r="CN6" s="252" t="s">
        <v>226</v>
      </c>
      <c r="CO6" s="253"/>
      <c r="CP6" s="253"/>
      <c r="CQ6" s="253"/>
      <c r="CR6" s="253"/>
      <c r="CS6" s="253"/>
      <c r="CT6" s="253"/>
      <c r="CU6" s="253"/>
      <c r="CV6" s="253"/>
      <c r="CW6" s="253"/>
      <c r="CX6" s="253"/>
      <c r="CY6" s="253"/>
      <c r="CZ6" s="253"/>
      <c r="DA6" s="253"/>
      <c r="DB6" s="253"/>
      <c r="DC6" s="253"/>
      <c r="DD6" s="254"/>
      <c r="DE6" s="255">
        <v>758</v>
      </c>
      <c r="DF6" s="255"/>
      <c r="DG6" s="255"/>
      <c r="DH6" s="255"/>
      <c r="DI6" s="255"/>
      <c r="DJ6" s="255"/>
      <c r="DK6" s="255"/>
      <c r="DL6" s="255"/>
      <c r="DM6" s="255"/>
      <c r="DN6" s="255"/>
      <c r="DO6" s="255"/>
      <c r="DP6" s="255"/>
      <c r="DQ6" s="255"/>
      <c r="DR6" s="255"/>
      <c r="DS6" s="255"/>
      <c r="DT6" s="255"/>
      <c r="DU6" s="256"/>
      <c r="DW6" s="14"/>
    </row>
    <row r="7" spans="2:154" x14ac:dyDescent="0.25">
      <c r="B7" s="3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P7" s="8"/>
      <c r="Q7" s="8"/>
      <c r="R7" s="8"/>
      <c r="S7" s="8"/>
      <c r="T7" s="245" t="s">
        <v>42</v>
      </c>
      <c r="U7" s="246"/>
      <c r="V7" s="246"/>
      <c r="W7" s="246"/>
      <c r="X7" s="246"/>
      <c r="Y7" s="247"/>
      <c r="Z7" s="245" t="s">
        <v>2</v>
      </c>
      <c r="AA7" s="246"/>
      <c r="AB7" s="246"/>
      <c r="AC7" s="246"/>
      <c r="AD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7"/>
      <c r="AW7" s="245" t="s">
        <v>22</v>
      </c>
      <c r="AX7" s="246"/>
      <c r="AY7" s="246"/>
      <c r="AZ7" s="246"/>
      <c r="BA7" s="246"/>
      <c r="BB7" s="246"/>
      <c r="BC7" s="246"/>
      <c r="BD7" s="246"/>
      <c r="BE7" s="246"/>
      <c r="BF7" s="246"/>
      <c r="BG7" s="246"/>
      <c r="BH7" s="246"/>
      <c r="BI7" s="246"/>
      <c r="BJ7" s="246"/>
      <c r="BK7" s="246"/>
      <c r="BL7" s="246"/>
      <c r="BM7" s="246"/>
      <c r="BN7" s="246"/>
      <c r="BO7" s="246"/>
      <c r="BP7" s="246"/>
      <c r="BQ7" s="246"/>
      <c r="BR7" s="246"/>
      <c r="BS7" s="247"/>
      <c r="BT7" s="25"/>
      <c r="BV7" s="245" t="s">
        <v>42</v>
      </c>
      <c r="BW7" s="246"/>
      <c r="BX7" s="246"/>
      <c r="BY7" s="246"/>
      <c r="BZ7" s="246"/>
      <c r="CA7" s="247"/>
      <c r="CB7" s="245" t="s">
        <v>2</v>
      </c>
      <c r="CC7" s="246"/>
      <c r="CD7" s="246"/>
      <c r="CE7" s="246"/>
      <c r="CF7" s="246"/>
      <c r="CG7" s="246"/>
      <c r="CH7" s="246"/>
      <c r="CI7" s="246"/>
      <c r="CJ7" s="246"/>
      <c r="CK7" s="246"/>
      <c r="CL7" s="246"/>
      <c r="CM7" s="246"/>
      <c r="CN7" s="246"/>
      <c r="CO7" s="246"/>
      <c r="CP7" s="246"/>
      <c r="CQ7" s="246"/>
      <c r="CR7" s="246"/>
      <c r="CS7" s="246"/>
      <c r="CT7" s="246"/>
      <c r="CU7" s="246"/>
      <c r="CV7" s="246"/>
      <c r="CW7" s="246"/>
      <c r="CX7" s="247"/>
      <c r="CY7" s="245" t="s">
        <v>22</v>
      </c>
      <c r="CZ7" s="246"/>
      <c r="DA7" s="246"/>
      <c r="DB7" s="246"/>
      <c r="DC7" s="246"/>
      <c r="DD7" s="246"/>
      <c r="DE7" s="246"/>
      <c r="DF7" s="246"/>
      <c r="DG7" s="246"/>
      <c r="DH7" s="246"/>
      <c r="DI7" s="246"/>
      <c r="DJ7" s="246"/>
      <c r="DK7" s="246"/>
      <c r="DL7" s="246"/>
      <c r="DM7" s="246"/>
      <c r="DN7" s="246"/>
      <c r="DO7" s="246"/>
      <c r="DP7" s="246"/>
      <c r="DQ7" s="246"/>
      <c r="DR7" s="246"/>
      <c r="DS7" s="246"/>
      <c r="DT7" s="246"/>
      <c r="DU7" s="247"/>
      <c r="DV7" s="3"/>
      <c r="DW7" s="14"/>
      <c r="DX7" s="3"/>
      <c r="DY7" s="3"/>
      <c r="DZ7" s="3"/>
      <c r="EA7" s="3"/>
      <c r="EB7" s="3"/>
      <c r="EC7" s="3"/>
      <c r="ED7" s="3"/>
    </row>
    <row r="8" spans="2:154" ht="24.95" customHeight="1" x14ac:dyDescent="0.35">
      <c r="B8" s="3"/>
      <c r="C8" s="239" t="str">
        <f>Service1!C6</f>
        <v>Омск</v>
      </c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1"/>
      <c r="T8" s="233">
        <v>16</v>
      </c>
      <c r="U8" s="234"/>
      <c r="V8" s="234"/>
      <c r="W8" s="234"/>
      <c r="X8" s="234"/>
      <c r="Y8" s="235"/>
      <c r="Z8" s="265" t="s">
        <v>89</v>
      </c>
      <c r="AA8" s="266"/>
      <c r="AB8" s="266"/>
      <c r="AC8" s="266"/>
      <c r="AD8" s="266"/>
      <c r="AE8" s="266"/>
      <c r="AF8" s="266"/>
      <c r="AG8" s="266"/>
      <c r="AH8" s="266"/>
      <c r="AI8" s="266"/>
      <c r="AJ8" s="266"/>
      <c r="AK8" s="266"/>
      <c r="AL8" s="266"/>
      <c r="AM8" s="266"/>
      <c r="AN8" s="266"/>
      <c r="AO8" s="266"/>
      <c r="AP8" s="266"/>
      <c r="AQ8" s="266"/>
      <c r="AR8" s="266"/>
      <c r="AS8" s="266"/>
      <c r="AT8" s="266"/>
      <c r="AU8" s="266"/>
      <c r="AV8" s="267"/>
      <c r="AW8" s="230" t="s">
        <v>4</v>
      </c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2"/>
      <c r="BT8" s="27" t="b">
        <f>OR(AND(Z8=Service1!$C$46,AW8=Service1!$C$56),AND(AW8&lt;&gt;"0",Z8&lt;&gt;Service1!$C$46))</f>
        <v>1</v>
      </c>
      <c r="BU8" s="30" t="b">
        <f>OR(AND(CB8=Service1!$C$46,CY8=Service1!$C$56),AND(CY8&gt;"0",CB8&lt;&gt;Service1!$C$46))</f>
        <v>1</v>
      </c>
      <c r="BV8" s="233">
        <v>1</v>
      </c>
      <c r="BW8" s="234"/>
      <c r="BX8" s="234"/>
      <c r="BY8" s="234"/>
      <c r="BZ8" s="234"/>
      <c r="CA8" s="235"/>
      <c r="CB8" s="230" t="s">
        <v>88</v>
      </c>
      <c r="CC8" s="231"/>
      <c r="CD8" s="231"/>
      <c r="CE8" s="231"/>
      <c r="CF8" s="231"/>
      <c r="CG8" s="231"/>
      <c r="CH8" s="231"/>
      <c r="CI8" s="231"/>
      <c r="CJ8" s="231"/>
      <c r="CK8" s="231"/>
      <c r="CL8" s="231"/>
      <c r="CM8" s="231"/>
      <c r="CN8" s="231"/>
      <c r="CO8" s="231"/>
      <c r="CP8" s="231"/>
      <c r="CQ8" s="231"/>
      <c r="CR8" s="231"/>
      <c r="CS8" s="231"/>
      <c r="CT8" s="231"/>
      <c r="CU8" s="231"/>
      <c r="CV8" s="231"/>
      <c r="CW8" s="231"/>
      <c r="CX8" s="232"/>
      <c r="CY8" s="230" t="s">
        <v>4</v>
      </c>
      <c r="CZ8" s="231"/>
      <c r="DA8" s="231"/>
      <c r="DB8" s="231"/>
      <c r="DC8" s="231"/>
      <c r="DD8" s="231"/>
      <c r="DE8" s="231"/>
      <c r="DF8" s="231"/>
      <c r="DG8" s="231"/>
      <c r="DH8" s="231"/>
      <c r="DI8" s="231"/>
      <c r="DJ8" s="231"/>
      <c r="DK8" s="231"/>
      <c r="DL8" s="231"/>
      <c r="DM8" s="231"/>
      <c r="DN8" s="231"/>
      <c r="DO8" s="231"/>
      <c r="DP8" s="231"/>
      <c r="DQ8" s="231"/>
      <c r="DR8" s="231"/>
      <c r="DS8" s="231"/>
      <c r="DT8" s="231"/>
      <c r="DU8" s="232"/>
      <c r="DV8" s="9"/>
      <c r="DW8" s="15"/>
      <c r="DX8" s="9"/>
      <c r="DY8" s="9"/>
      <c r="DZ8" s="10"/>
      <c r="EA8" s="10"/>
      <c r="EB8" s="10"/>
      <c r="EC8" s="10"/>
      <c r="ED8" s="10"/>
      <c r="EE8" s="11"/>
      <c r="EF8" s="11"/>
      <c r="EG8" s="11"/>
    </row>
    <row r="9" spans="2:154" ht="24.95" customHeight="1" x14ac:dyDescent="0.35">
      <c r="B9" s="3"/>
      <c r="C9" s="239" t="str">
        <f>Service1!C9</f>
        <v>Усть-Ишим</v>
      </c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1"/>
      <c r="T9" s="233">
        <v>14</v>
      </c>
      <c r="U9" s="234"/>
      <c r="V9" s="234"/>
      <c r="W9" s="234"/>
      <c r="X9" s="234"/>
      <c r="Y9" s="235"/>
      <c r="Z9" s="265" t="s">
        <v>89</v>
      </c>
      <c r="AA9" s="266"/>
      <c r="AB9" s="266"/>
      <c r="AC9" s="266"/>
      <c r="AD9" s="266"/>
      <c r="AE9" s="266"/>
      <c r="AF9" s="266"/>
      <c r="AG9" s="266"/>
      <c r="AH9" s="266"/>
      <c r="AI9" s="266"/>
      <c r="AJ9" s="266"/>
      <c r="AK9" s="266"/>
      <c r="AL9" s="266"/>
      <c r="AM9" s="266"/>
      <c r="AN9" s="266"/>
      <c r="AO9" s="266"/>
      <c r="AP9" s="266"/>
      <c r="AQ9" s="266"/>
      <c r="AR9" s="266"/>
      <c r="AS9" s="266"/>
      <c r="AT9" s="266"/>
      <c r="AU9" s="266"/>
      <c r="AV9" s="267"/>
      <c r="AW9" s="230" t="s">
        <v>4</v>
      </c>
      <c r="AX9" s="231"/>
      <c r="AY9" s="231"/>
      <c r="AZ9" s="231"/>
      <c r="BA9" s="231"/>
      <c r="BB9" s="231"/>
      <c r="BC9" s="231"/>
      <c r="BD9" s="231"/>
      <c r="BE9" s="231"/>
      <c r="BF9" s="231"/>
      <c r="BG9" s="231"/>
      <c r="BH9" s="231"/>
      <c r="BI9" s="231"/>
      <c r="BJ9" s="231"/>
      <c r="BK9" s="231"/>
      <c r="BL9" s="231"/>
      <c r="BM9" s="231"/>
      <c r="BN9" s="231"/>
      <c r="BO9" s="231"/>
      <c r="BP9" s="231"/>
      <c r="BQ9" s="231"/>
      <c r="BR9" s="231"/>
      <c r="BS9" s="232"/>
      <c r="BT9" s="27" t="b">
        <f>OR(AND(Z9=Service1!$C$46,AW9=Service1!$C$56),AND(AW9&lt;&gt;"0",Z9&lt;&gt;Service1!$C$46))</f>
        <v>1</v>
      </c>
      <c r="BU9" s="30" t="b">
        <f>OR(AND(CB9=Service1!$C$46,CY9=Service1!$C$56),AND(CY9&gt;"0",CB9&lt;&gt;Service1!$C$46))</f>
        <v>1</v>
      </c>
      <c r="BV9" s="233">
        <v>3</v>
      </c>
      <c r="BW9" s="234"/>
      <c r="BX9" s="234"/>
      <c r="BY9" s="234"/>
      <c r="BZ9" s="234"/>
      <c r="CA9" s="235"/>
      <c r="CB9" s="230" t="s">
        <v>89</v>
      </c>
      <c r="CC9" s="231"/>
      <c r="CD9" s="231"/>
      <c r="CE9" s="231"/>
      <c r="CF9" s="231"/>
      <c r="CG9" s="231"/>
      <c r="CH9" s="231"/>
      <c r="CI9" s="231"/>
      <c r="CJ9" s="231"/>
      <c r="CK9" s="231"/>
      <c r="CL9" s="231"/>
      <c r="CM9" s="231"/>
      <c r="CN9" s="231"/>
      <c r="CO9" s="231"/>
      <c r="CP9" s="231"/>
      <c r="CQ9" s="231"/>
      <c r="CR9" s="231"/>
      <c r="CS9" s="231"/>
      <c r="CT9" s="231"/>
      <c r="CU9" s="231"/>
      <c r="CV9" s="231"/>
      <c r="CW9" s="231"/>
      <c r="CX9" s="232"/>
      <c r="CY9" s="230" t="s">
        <v>4</v>
      </c>
      <c r="CZ9" s="231"/>
      <c r="DA9" s="231"/>
      <c r="DB9" s="231"/>
      <c r="DC9" s="231"/>
      <c r="DD9" s="231"/>
      <c r="DE9" s="231"/>
      <c r="DF9" s="231"/>
      <c r="DG9" s="231"/>
      <c r="DH9" s="231"/>
      <c r="DI9" s="231"/>
      <c r="DJ9" s="231"/>
      <c r="DK9" s="231"/>
      <c r="DL9" s="231"/>
      <c r="DM9" s="231"/>
      <c r="DN9" s="231"/>
      <c r="DO9" s="231"/>
      <c r="DP9" s="231"/>
      <c r="DQ9" s="231"/>
      <c r="DR9" s="231"/>
      <c r="DS9" s="231"/>
      <c r="DT9" s="231"/>
      <c r="DU9" s="232"/>
      <c r="DV9" s="9"/>
      <c r="DW9" s="15"/>
      <c r="DX9" s="9"/>
      <c r="DY9" s="9"/>
      <c r="DZ9" s="10"/>
      <c r="EA9" s="10"/>
      <c r="EB9" s="10"/>
      <c r="EC9" s="10"/>
      <c r="ED9" s="10"/>
      <c r="EE9" s="11"/>
      <c r="EF9" s="11"/>
      <c r="EG9" s="11"/>
    </row>
    <row r="10" spans="2:154" ht="24.95" customHeight="1" x14ac:dyDescent="0.35">
      <c r="B10" s="3"/>
      <c r="C10" s="239" t="str">
        <f>Service1!C10</f>
        <v>Тара</v>
      </c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0"/>
      <c r="O10" s="240"/>
      <c r="P10" s="240"/>
      <c r="Q10" s="240"/>
      <c r="R10" s="240"/>
      <c r="S10" s="241"/>
      <c r="T10" s="233">
        <v>15</v>
      </c>
      <c r="U10" s="234"/>
      <c r="V10" s="234"/>
      <c r="W10" s="234"/>
      <c r="X10" s="234"/>
      <c r="Y10" s="235"/>
      <c r="Z10" s="265" t="s">
        <v>89</v>
      </c>
      <c r="AA10" s="266"/>
      <c r="AB10" s="266"/>
      <c r="AC10" s="266"/>
      <c r="AD10" s="266"/>
      <c r="AE10" s="266"/>
      <c r="AF10" s="266"/>
      <c r="AG10" s="266"/>
      <c r="AH10" s="266"/>
      <c r="AI10" s="266"/>
      <c r="AJ10" s="266"/>
      <c r="AK10" s="266"/>
      <c r="AL10" s="266"/>
      <c r="AM10" s="266"/>
      <c r="AN10" s="266"/>
      <c r="AO10" s="266"/>
      <c r="AP10" s="266"/>
      <c r="AQ10" s="266"/>
      <c r="AR10" s="266"/>
      <c r="AS10" s="266"/>
      <c r="AT10" s="266"/>
      <c r="AU10" s="266"/>
      <c r="AV10" s="267"/>
      <c r="AW10" s="230" t="s">
        <v>4</v>
      </c>
      <c r="AX10" s="231"/>
      <c r="AY10" s="231"/>
      <c r="AZ10" s="231"/>
      <c r="BA10" s="231"/>
      <c r="BB10" s="231"/>
      <c r="BC10" s="231"/>
      <c r="BD10" s="231"/>
      <c r="BE10" s="231"/>
      <c r="BF10" s="231"/>
      <c r="BG10" s="231"/>
      <c r="BH10" s="231"/>
      <c r="BI10" s="231"/>
      <c r="BJ10" s="231"/>
      <c r="BK10" s="231"/>
      <c r="BL10" s="231"/>
      <c r="BM10" s="231"/>
      <c r="BN10" s="231"/>
      <c r="BO10" s="231"/>
      <c r="BP10" s="231"/>
      <c r="BQ10" s="231"/>
      <c r="BR10" s="231"/>
      <c r="BS10" s="232"/>
      <c r="BT10" s="27" t="b">
        <f>OR(AND(Z10=Service1!$C$46,AW10=Service1!$C$56),AND(AW10&lt;&gt;"0",Z10&lt;&gt;Service1!$C$46))</f>
        <v>1</v>
      </c>
      <c r="BU10" s="30" t="b">
        <f>OR(AND(CB10=Service1!$C$46,CY10=Service1!$C$56),AND(CY10&gt;"0",CB10&lt;&gt;Service1!$C$46))</f>
        <v>1</v>
      </c>
      <c r="BV10" s="233">
        <v>3</v>
      </c>
      <c r="BW10" s="234"/>
      <c r="BX10" s="234"/>
      <c r="BY10" s="234"/>
      <c r="BZ10" s="234"/>
      <c r="CA10" s="235"/>
      <c r="CB10" s="230" t="s">
        <v>89</v>
      </c>
      <c r="CC10" s="231"/>
      <c r="CD10" s="231"/>
      <c r="CE10" s="231"/>
      <c r="CF10" s="231"/>
      <c r="CG10" s="231"/>
      <c r="CH10" s="231"/>
      <c r="CI10" s="231"/>
      <c r="CJ10" s="231"/>
      <c r="CK10" s="231"/>
      <c r="CL10" s="231"/>
      <c r="CM10" s="231"/>
      <c r="CN10" s="231"/>
      <c r="CO10" s="231"/>
      <c r="CP10" s="231"/>
      <c r="CQ10" s="231"/>
      <c r="CR10" s="231"/>
      <c r="CS10" s="231"/>
      <c r="CT10" s="231"/>
      <c r="CU10" s="231"/>
      <c r="CV10" s="231"/>
      <c r="CW10" s="231"/>
      <c r="CX10" s="232"/>
      <c r="CY10" s="230" t="s">
        <v>4</v>
      </c>
      <c r="CZ10" s="231"/>
      <c r="DA10" s="231"/>
      <c r="DB10" s="231"/>
      <c r="DC10" s="231"/>
      <c r="DD10" s="231"/>
      <c r="DE10" s="231"/>
      <c r="DF10" s="231"/>
      <c r="DG10" s="231"/>
      <c r="DH10" s="231"/>
      <c r="DI10" s="231"/>
      <c r="DJ10" s="231"/>
      <c r="DK10" s="231"/>
      <c r="DL10" s="231"/>
      <c r="DM10" s="231"/>
      <c r="DN10" s="231"/>
      <c r="DO10" s="231"/>
      <c r="DP10" s="231"/>
      <c r="DQ10" s="231"/>
      <c r="DR10" s="231"/>
      <c r="DS10" s="231"/>
      <c r="DT10" s="231"/>
      <c r="DU10" s="232"/>
      <c r="DV10" s="9"/>
      <c r="DW10" s="15"/>
      <c r="DX10" s="9"/>
      <c r="DY10" s="9"/>
      <c r="DZ10" s="10"/>
      <c r="EA10" s="10"/>
      <c r="EB10" s="10"/>
      <c r="EC10" s="10"/>
      <c r="ED10" s="10"/>
      <c r="EE10" s="11"/>
      <c r="EF10" s="11"/>
      <c r="EG10" s="11"/>
    </row>
    <row r="11" spans="2:154" ht="24.95" customHeight="1" x14ac:dyDescent="0.35">
      <c r="B11" s="3"/>
      <c r="C11" s="239" t="str">
        <f>Service1!C11</f>
        <v>Тюкалинск</v>
      </c>
      <c r="D11" s="240"/>
      <c r="E11" s="240"/>
      <c r="F11" s="240"/>
      <c r="G11" s="240"/>
      <c r="H11" s="240"/>
      <c r="I11" s="240"/>
      <c r="J11" s="240"/>
      <c r="K11" s="240"/>
      <c r="L11" s="240"/>
      <c r="M11" s="240"/>
      <c r="N11" s="240"/>
      <c r="O11" s="240"/>
      <c r="P11" s="240"/>
      <c r="Q11" s="240"/>
      <c r="R11" s="240"/>
      <c r="S11" s="241"/>
      <c r="T11" s="233">
        <v>15</v>
      </c>
      <c r="U11" s="234"/>
      <c r="V11" s="234"/>
      <c r="W11" s="234"/>
      <c r="X11" s="234"/>
      <c r="Y11" s="235"/>
      <c r="Z11" s="265" t="s">
        <v>89</v>
      </c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7"/>
      <c r="AW11" s="230" t="s">
        <v>4</v>
      </c>
      <c r="AX11" s="231"/>
      <c r="AY11" s="231"/>
      <c r="AZ11" s="231"/>
      <c r="BA11" s="231"/>
      <c r="BB11" s="231"/>
      <c r="BC11" s="231"/>
      <c r="BD11" s="231"/>
      <c r="BE11" s="231"/>
      <c r="BF11" s="231"/>
      <c r="BG11" s="231"/>
      <c r="BH11" s="231"/>
      <c r="BI11" s="231"/>
      <c r="BJ11" s="231"/>
      <c r="BK11" s="231"/>
      <c r="BL11" s="231"/>
      <c r="BM11" s="231"/>
      <c r="BN11" s="231"/>
      <c r="BO11" s="231"/>
      <c r="BP11" s="231"/>
      <c r="BQ11" s="231"/>
      <c r="BR11" s="231"/>
      <c r="BS11" s="232"/>
      <c r="BT11" s="27" t="b">
        <f>OR(AND(Z11=Service1!$C$46,AW11=Service1!$C$56),AND(AW11&lt;&gt;"0",Z11&lt;&gt;Service1!$C$46))</f>
        <v>1</v>
      </c>
      <c r="BU11" s="30" t="b">
        <f>OR(AND(CB11=Service1!$C$46,CY11=Service1!$C$56),AND(CY11&gt;"0",CB11&lt;&gt;Service1!$C$46))</f>
        <v>1</v>
      </c>
      <c r="BV11" s="233">
        <v>2</v>
      </c>
      <c r="BW11" s="234"/>
      <c r="BX11" s="234"/>
      <c r="BY11" s="234"/>
      <c r="BZ11" s="234"/>
      <c r="CA11" s="235"/>
      <c r="CB11" s="230" t="s">
        <v>88</v>
      </c>
      <c r="CC11" s="231"/>
      <c r="CD11" s="231"/>
      <c r="CE11" s="231"/>
      <c r="CF11" s="231"/>
      <c r="CG11" s="231"/>
      <c r="CH11" s="231"/>
      <c r="CI11" s="231"/>
      <c r="CJ11" s="231"/>
      <c r="CK11" s="231"/>
      <c r="CL11" s="231"/>
      <c r="CM11" s="231"/>
      <c r="CN11" s="231"/>
      <c r="CO11" s="231"/>
      <c r="CP11" s="231"/>
      <c r="CQ11" s="231"/>
      <c r="CR11" s="231"/>
      <c r="CS11" s="231"/>
      <c r="CT11" s="231"/>
      <c r="CU11" s="231"/>
      <c r="CV11" s="231"/>
      <c r="CW11" s="231"/>
      <c r="CX11" s="232"/>
      <c r="CY11" s="230" t="s">
        <v>4</v>
      </c>
      <c r="CZ11" s="231"/>
      <c r="DA11" s="231"/>
      <c r="DB11" s="231"/>
      <c r="DC11" s="231"/>
      <c r="DD11" s="231"/>
      <c r="DE11" s="231"/>
      <c r="DF11" s="231"/>
      <c r="DG11" s="231"/>
      <c r="DH11" s="231"/>
      <c r="DI11" s="231"/>
      <c r="DJ11" s="231"/>
      <c r="DK11" s="231"/>
      <c r="DL11" s="231"/>
      <c r="DM11" s="231"/>
      <c r="DN11" s="231"/>
      <c r="DO11" s="231"/>
      <c r="DP11" s="231"/>
      <c r="DQ11" s="231"/>
      <c r="DR11" s="231"/>
      <c r="DS11" s="231"/>
      <c r="DT11" s="231"/>
      <c r="DU11" s="232"/>
      <c r="DV11" s="9"/>
      <c r="DW11" s="15"/>
      <c r="DX11" s="9"/>
      <c r="DY11" s="9"/>
      <c r="DZ11" s="10"/>
      <c r="EA11" s="10"/>
      <c r="EB11" s="10"/>
      <c r="EC11" s="10"/>
      <c r="ED11" s="10"/>
      <c r="EE11" s="11"/>
      <c r="EF11" s="11"/>
      <c r="EG11" s="11"/>
    </row>
    <row r="12" spans="2:154" ht="24.95" customHeight="1" x14ac:dyDescent="0.35">
      <c r="B12" s="3"/>
      <c r="C12" s="239" t="str">
        <f>Service1!C12</f>
        <v>Большеречье</v>
      </c>
      <c r="D12" s="240"/>
      <c r="E12" s="240"/>
      <c r="F12" s="240"/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1"/>
      <c r="T12" s="233">
        <v>16</v>
      </c>
      <c r="U12" s="234"/>
      <c r="V12" s="234"/>
      <c r="W12" s="234"/>
      <c r="X12" s="234"/>
      <c r="Y12" s="235"/>
      <c r="Z12" s="265" t="s">
        <v>89</v>
      </c>
      <c r="AA12" s="266"/>
      <c r="AB12" s="266"/>
      <c r="AC12" s="266"/>
      <c r="AD12" s="266"/>
      <c r="AE12" s="266"/>
      <c r="AF12" s="266"/>
      <c r="AG12" s="266"/>
      <c r="AH12" s="266"/>
      <c r="AI12" s="266"/>
      <c r="AJ12" s="266"/>
      <c r="AK12" s="266"/>
      <c r="AL12" s="266"/>
      <c r="AM12" s="266"/>
      <c r="AN12" s="266"/>
      <c r="AO12" s="266"/>
      <c r="AP12" s="266"/>
      <c r="AQ12" s="266"/>
      <c r="AR12" s="266"/>
      <c r="AS12" s="266"/>
      <c r="AT12" s="266"/>
      <c r="AU12" s="266"/>
      <c r="AV12" s="267"/>
      <c r="AW12" s="230" t="s">
        <v>4</v>
      </c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2"/>
      <c r="BT12" s="27" t="b">
        <f>OR(AND(Z12=Service1!$C$46,AW12=Service1!$C$56),AND(AW12&lt;&gt;"0",Z12&lt;&gt;Service1!$C$46))</f>
        <v>1</v>
      </c>
      <c r="BU12" s="30" t="b">
        <f>OR(AND(CB12=Service1!$C$46,CY12=Service1!$C$56),AND(CY12&gt;"0",CB12&lt;&gt;Service1!$C$46))</f>
        <v>1</v>
      </c>
      <c r="BV12" s="233">
        <v>3</v>
      </c>
      <c r="BW12" s="234"/>
      <c r="BX12" s="234"/>
      <c r="BY12" s="234"/>
      <c r="BZ12" s="234"/>
      <c r="CA12" s="235"/>
      <c r="CB12" s="230" t="s">
        <v>89</v>
      </c>
      <c r="CC12" s="231"/>
      <c r="CD12" s="231"/>
      <c r="CE12" s="231"/>
      <c r="CF12" s="231"/>
      <c r="CG12" s="231"/>
      <c r="CH12" s="231"/>
      <c r="CI12" s="231"/>
      <c r="CJ12" s="231"/>
      <c r="CK12" s="231"/>
      <c r="CL12" s="231"/>
      <c r="CM12" s="231"/>
      <c r="CN12" s="231"/>
      <c r="CO12" s="231"/>
      <c r="CP12" s="231"/>
      <c r="CQ12" s="231"/>
      <c r="CR12" s="231"/>
      <c r="CS12" s="231"/>
      <c r="CT12" s="231"/>
      <c r="CU12" s="231"/>
      <c r="CV12" s="231"/>
      <c r="CW12" s="231"/>
      <c r="CX12" s="232"/>
      <c r="CY12" s="230" t="s">
        <v>4</v>
      </c>
      <c r="CZ12" s="231"/>
      <c r="DA12" s="231"/>
      <c r="DB12" s="231"/>
      <c r="DC12" s="231"/>
      <c r="DD12" s="231"/>
      <c r="DE12" s="231"/>
      <c r="DF12" s="231"/>
      <c r="DG12" s="231"/>
      <c r="DH12" s="231"/>
      <c r="DI12" s="231"/>
      <c r="DJ12" s="231"/>
      <c r="DK12" s="231"/>
      <c r="DL12" s="231"/>
      <c r="DM12" s="231"/>
      <c r="DN12" s="231"/>
      <c r="DO12" s="231"/>
      <c r="DP12" s="231"/>
      <c r="DQ12" s="231"/>
      <c r="DR12" s="231"/>
      <c r="DS12" s="231"/>
      <c r="DT12" s="231"/>
      <c r="DU12" s="232"/>
      <c r="DV12" s="9"/>
      <c r="DW12" s="15"/>
      <c r="DX12" s="9"/>
      <c r="DY12" s="9"/>
      <c r="DZ12" s="10"/>
      <c r="EA12" s="10"/>
      <c r="EB12" s="10"/>
      <c r="EC12" s="10"/>
      <c r="ED12" s="10"/>
      <c r="EE12" s="11"/>
      <c r="EF12" s="11"/>
      <c r="EG12" s="11"/>
    </row>
    <row r="13" spans="2:154" ht="24.95" customHeight="1" x14ac:dyDescent="0.35">
      <c r="B13" s="3"/>
      <c r="C13" s="239" t="str">
        <f>Service1!C13</f>
        <v>Называевск</v>
      </c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0"/>
      <c r="P13" s="240"/>
      <c r="Q13" s="240"/>
      <c r="R13" s="240"/>
      <c r="S13" s="241"/>
      <c r="T13" s="233">
        <v>16</v>
      </c>
      <c r="U13" s="234"/>
      <c r="V13" s="234"/>
      <c r="W13" s="234"/>
      <c r="X13" s="234"/>
      <c r="Y13" s="235"/>
      <c r="Z13" s="265" t="s">
        <v>89</v>
      </c>
      <c r="AA13" s="266"/>
      <c r="AB13" s="266"/>
      <c r="AC13" s="266"/>
      <c r="AD13" s="266"/>
      <c r="AE13" s="266"/>
      <c r="AF13" s="266"/>
      <c r="AG13" s="266"/>
      <c r="AH13" s="266"/>
      <c r="AI13" s="266"/>
      <c r="AJ13" s="266"/>
      <c r="AK13" s="266"/>
      <c r="AL13" s="266"/>
      <c r="AM13" s="266"/>
      <c r="AN13" s="266"/>
      <c r="AO13" s="266"/>
      <c r="AP13" s="266"/>
      <c r="AQ13" s="266"/>
      <c r="AR13" s="266"/>
      <c r="AS13" s="266"/>
      <c r="AT13" s="266"/>
      <c r="AU13" s="266"/>
      <c r="AV13" s="267"/>
      <c r="AW13" s="230" t="s">
        <v>4</v>
      </c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2"/>
      <c r="BT13" s="27" t="b">
        <f>OR(AND(Z13=Service1!$C$46,AW13=Service1!$C$56),AND(AW13&lt;&gt;"0",Z13&lt;&gt;Service1!$C$46))</f>
        <v>1</v>
      </c>
      <c r="BU13" s="30" t="b">
        <f>OR(AND(CB13=Service1!$C$46,CY13=Service1!$C$56),AND(CY13&gt;"0",CB13&lt;&gt;Service1!$C$46))</f>
        <v>1</v>
      </c>
      <c r="BV13" s="233">
        <v>1</v>
      </c>
      <c r="BW13" s="234"/>
      <c r="BX13" s="234"/>
      <c r="BY13" s="234"/>
      <c r="BZ13" s="234"/>
      <c r="CA13" s="235"/>
      <c r="CB13" s="230" t="s">
        <v>88</v>
      </c>
      <c r="CC13" s="231"/>
      <c r="CD13" s="231"/>
      <c r="CE13" s="231"/>
      <c r="CF13" s="231"/>
      <c r="CG13" s="231"/>
      <c r="CH13" s="231"/>
      <c r="CI13" s="231"/>
      <c r="CJ13" s="231"/>
      <c r="CK13" s="231"/>
      <c r="CL13" s="231"/>
      <c r="CM13" s="231"/>
      <c r="CN13" s="231"/>
      <c r="CO13" s="231"/>
      <c r="CP13" s="231"/>
      <c r="CQ13" s="231"/>
      <c r="CR13" s="231"/>
      <c r="CS13" s="231"/>
      <c r="CT13" s="231"/>
      <c r="CU13" s="231"/>
      <c r="CV13" s="231"/>
      <c r="CW13" s="231"/>
      <c r="CX13" s="232"/>
      <c r="CY13" s="230" t="s">
        <v>4</v>
      </c>
      <c r="CZ13" s="231"/>
      <c r="DA13" s="231"/>
      <c r="DB13" s="231"/>
      <c r="DC13" s="231"/>
      <c r="DD13" s="231"/>
      <c r="DE13" s="231"/>
      <c r="DF13" s="231"/>
      <c r="DG13" s="231"/>
      <c r="DH13" s="231"/>
      <c r="DI13" s="231"/>
      <c r="DJ13" s="231"/>
      <c r="DK13" s="231"/>
      <c r="DL13" s="231"/>
      <c r="DM13" s="231"/>
      <c r="DN13" s="231"/>
      <c r="DO13" s="231"/>
      <c r="DP13" s="231"/>
      <c r="DQ13" s="231"/>
      <c r="DR13" s="231"/>
      <c r="DS13" s="231"/>
      <c r="DT13" s="231"/>
      <c r="DU13" s="232"/>
      <c r="DV13" s="9"/>
      <c r="DW13" s="15"/>
      <c r="DX13" s="9"/>
      <c r="DY13" s="9"/>
      <c r="DZ13" s="10"/>
      <c r="EA13" s="10"/>
      <c r="EB13" s="10"/>
      <c r="EC13" s="10"/>
      <c r="ED13" s="10"/>
      <c r="EE13" s="11"/>
      <c r="EF13" s="11"/>
      <c r="EG13" s="11"/>
    </row>
    <row r="14" spans="2:154" ht="24.95" customHeight="1" x14ac:dyDescent="0.35">
      <c r="B14" s="3"/>
      <c r="C14" s="239" t="str">
        <f>Service1!C14</f>
        <v>Тевриз</v>
      </c>
      <c r="D14" s="240"/>
      <c r="E14" s="240"/>
      <c r="F14" s="240"/>
      <c r="G14" s="240"/>
      <c r="H14" s="240"/>
      <c r="I14" s="240"/>
      <c r="J14" s="240"/>
      <c r="K14" s="240"/>
      <c r="L14" s="240"/>
      <c r="M14" s="240"/>
      <c r="N14" s="240"/>
      <c r="O14" s="240"/>
      <c r="P14" s="240"/>
      <c r="Q14" s="240"/>
      <c r="R14" s="240"/>
      <c r="S14" s="241"/>
      <c r="T14" s="233">
        <v>14</v>
      </c>
      <c r="U14" s="234"/>
      <c r="V14" s="234"/>
      <c r="W14" s="234"/>
      <c r="X14" s="234"/>
      <c r="Y14" s="235"/>
      <c r="Z14" s="265" t="s">
        <v>89</v>
      </c>
      <c r="AA14" s="266"/>
      <c r="AB14" s="266"/>
      <c r="AC14" s="266"/>
      <c r="AD14" s="266"/>
      <c r="AE14" s="266"/>
      <c r="AF14" s="266"/>
      <c r="AG14" s="266"/>
      <c r="AH14" s="266"/>
      <c r="AI14" s="266"/>
      <c r="AJ14" s="266"/>
      <c r="AK14" s="266"/>
      <c r="AL14" s="266"/>
      <c r="AM14" s="266"/>
      <c r="AN14" s="266"/>
      <c r="AO14" s="266"/>
      <c r="AP14" s="266"/>
      <c r="AQ14" s="266"/>
      <c r="AR14" s="266"/>
      <c r="AS14" s="266"/>
      <c r="AT14" s="266"/>
      <c r="AU14" s="266"/>
      <c r="AV14" s="267"/>
      <c r="AW14" s="230" t="s">
        <v>4</v>
      </c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2"/>
      <c r="BT14" s="27" t="b">
        <f>OR(AND(Z14=Service1!$C$46,AW14=Service1!$C$56),AND(AW14&lt;&gt;"0",Z14&lt;&gt;Service1!$C$46))</f>
        <v>1</v>
      </c>
      <c r="BU14" s="30">
        <v>1</v>
      </c>
      <c r="BV14" s="233">
        <v>4</v>
      </c>
      <c r="BW14" s="234"/>
      <c r="BX14" s="234"/>
      <c r="BY14" s="234"/>
      <c r="BZ14" s="234"/>
      <c r="CA14" s="235"/>
      <c r="CB14" s="230" t="s">
        <v>89</v>
      </c>
      <c r="CC14" s="231"/>
      <c r="CD14" s="231"/>
      <c r="CE14" s="231"/>
      <c r="CF14" s="231"/>
      <c r="CG14" s="231"/>
      <c r="CH14" s="231"/>
      <c r="CI14" s="231"/>
      <c r="CJ14" s="231"/>
      <c r="CK14" s="231"/>
      <c r="CL14" s="231"/>
      <c r="CM14" s="231"/>
      <c r="CN14" s="231"/>
      <c r="CO14" s="231"/>
      <c r="CP14" s="231"/>
      <c r="CQ14" s="231"/>
      <c r="CR14" s="231"/>
      <c r="CS14" s="231"/>
      <c r="CT14" s="231"/>
      <c r="CU14" s="231"/>
      <c r="CV14" s="231"/>
      <c r="CW14" s="231"/>
      <c r="CX14" s="232"/>
      <c r="CY14" s="230" t="s">
        <v>4</v>
      </c>
      <c r="CZ14" s="231"/>
      <c r="DA14" s="231"/>
      <c r="DB14" s="231"/>
      <c r="DC14" s="231"/>
      <c r="DD14" s="231"/>
      <c r="DE14" s="231"/>
      <c r="DF14" s="231"/>
      <c r="DG14" s="231"/>
      <c r="DH14" s="231"/>
      <c r="DI14" s="231"/>
      <c r="DJ14" s="231"/>
      <c r="DK14" s="231"/>
      <c r="DL14" s="231"/>
      <c r="DM14" s="231"/>
      <c r="DN14" s="231"/>
      <c r="DO14" s="231"/>
      <c r="DP14" s="231"/>
      <c r="DQ14" s="231"/>
      <c r="DR14" s="231"/>
      <c r="DS14" s="231"/>
      <c r="DT14" s="231"/>
      <c r="DU14" s="232"/>
      <c r="DV14" s="9"/>
      <c r="DW14" s="15"/>
      <c r="DX14" s="9"/>
      <c r="DY14" s="9"/>
      <c r="DZ14" s="10"/>
      <c r="EA14" s="10"/>
      <c r="EB14" s="10"/>
      <c r="EC14" s="10"/>
      <c r="ED14" s="10"/>
      <c r="EE14" s="11"/>
      <c r="EF14" s="11"/>
      <c r="EG14" s="11"/>
    </row>
    <row r="15" spans="2:154" ht="24.75" customHeight="1" x14ac:dyDescent="0.35">
      <c r="B15" s="3"/>
      <c r="C15" s="239" t="str">
        <f>Service1!C15</f>
        <v>Саргатское</v>
      </c>
      <c r="D15" s="240"/>
      <c r="E15" s="240"/>
      <c r="F15" s="240"/>
      <c r="G15" s="240"/>
      <c r="H15" s="240"/>
      <c r="I15" s="240"/>
      <c r="J15" s="240"/>
      <c r="K15" s="240"/>
      <c r="L15" s="240"/>
      <c r="M15" s="240"/>
      <c r="N15" s="240"/>
      <c r="O15" s="240"/>
      <c r="P15" s="240"/>
      <c r="Q15" s="240"/>
      <c r="R15" s="240"/>
      <c r="S15" s="241"/>
      <c r="T15" s="233">
        <v>16</v>
      </c>
      <c r="U15" s="234"/>
      <c r="V15" s="234"/>
      <c r="W15" s="234"/>
      <c r="X15" s="234"/>
      <c r="Y15" s="235"/>
      <c r="Z15" s="265" t="s">
        <v>89</v>
      </c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7"/>
      <c r="AW15" s="230" t="s">
        <v>4</v>
      </c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2"/>
      <c r="BT15" s="27" t="b">
        <f>OR(AND(Z15=Service1!$C$46,AW15=Service1!$C$56),AND(AW15&lt;&gt;"0",Z15&lt;&gt;Service1!$C$46))</f>
        <v>1</v>
      </c>
      <c r="BU15" s="30" t="b">
        <f>OR(AND(CB15=Service1!$C$46,CY15=Service1!$C$56),AND(CY15&gt;"0",CB15&lt;&gt;Service1!$C$46))</f>
        <v>1</v>
      </c>
      <c r="BV15" s="233">
        <v>1</v>
      </c>
      <c r="BW15" s="234"/>
      <c r="BX15" s="234"/>
      <c r="BY15" s="234"/>
      <c r="BZ15" s="234"/>
      <c r="CA15" s="235"/>
      <c r="CB15" s="230" t="s">
        <v>88</v>
      </c>
      <c r="CC15" s="231"/>
      <c r="CD15" s="231"/>
      <c r="CE15" s="231"/>
      <c r="CF15" s="231"/>
      <c r="CG15" s="231"/>
      <c r="CH15" s="231"/>
      <c r="CI15" s="231"/>
      <c r="CJ15" s="231"/>
      <c r="CK15" s="231"/>
      <c r="CL15" s="231"/>
      <c r="CM15" s="231"/>
      <c r="CN15" s="231"/>
      <c r="CO15" s="231"/>
      <c r="CP15" s="231"/>
      <c r="CQ15" s="231"/>
      <c r="CR15" s="231"/>
      <c r="CS15" s="231"/>
      <c r="CT15" s="231"/>
      <c r="CU15" s="231"/>
      <c r="CV15" s="231"/>
      <c r="CW15" s="231"/>
      <c r="CX15" s="232"/>
      <c r="CY15" s="230" t="s">
        <v>4</v>
      </c>
      <c r="CZ15" s="263"/>
      <c r="DA15" s="263"/>
      <c r="DB15" s="263"/>
      <c r="DC15" s="263"/>
      <c r="DD15" s="263"/>
      <c r="DE15" s="263"/>
      <c r="DF15" s="263"/>
      <c r="DG15" s="263"/>
      <c r="DH15" s="263"/>
      <c r="DI15" s="263"/>
      <c r="DJ15" s="263"/>
      <c r="DK15" s="263"/>
      <c r="DL15" s="263"/>
      <c r="DM15" s="263"/>
      <c r="DN15" s="263"/>
      <c r="DO15" s="263"/>
      <c r="DP15" s="263"/>
      <c r="DQ15" s="263"/>
      <c r="DR15" s="263"/>
      <c r="DS15" s="263"/>
      <c r="DT15" s="263"/>
      <c r="DU15" s="264"/>
      <c r="DV15" s="9"/>
      <c r="DW15" s="15"/>
      <c r="DX15" s="9"/>
      <c r="DY15" s="9"/>
      <c r="DZ15" s="10"/>
      <c r="EA15" s="10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</row>
    <row r="16" spans="2:154" ht="24.95" customHeight="1" x14ac:dyDescent="0.35">
      <c r="B16" s="3"/>
      <c r="C16" s="239" t="str">
        <f>Service1!D9</f>
        <v>Исилькуль</v>
      </c>
      <c r="D16" s="240"/>
      <c r="E16" s="240"/>
      <c r="F16" s="240"/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1"/>
      <c r="T16" s="233">
        <v>16</v>
      </c>
      <c r="U16" s="234"/>
      <c r="V16" s="234"/>
      <c r="W16" s="234"/>
      <c r="X16" s="234"/>
      <c r="Y16" s="235"/>
      <c r="Z16" s="265" t="s">
        <v>89</v>
      </c>
      <c r="AA16" s="266"/>
      <c r="AB16" s="266"/>
      <c r="AC16" s="266"/>
      <c r="AD16" s="266"/>
      <c r="AE16" s="266"/>
      <c r="AF16" s="266"/>
      <c r="AG16" s="266"/>
      <c r="AH16" s="266"/>
      <c r="AI16" s="266"/>
      <c r="AJ16" s="266"/>
      <c r="AK16" s="266"/>
      <c r="AL16" s="266"/>
      <c r="AM16" s="266"/>
      <c r="AN16" s="266"/>
      <c r="AO16" s="266"/>
      <c r="AP16" s="266"/>
      <c r="AQ16" s="266"/>
      <c r="AR16" s="266"/>
      <c r="AS16" s="266"/>
      <c r="AT16" s="266"/>
      <c r="AU16" s="266"/>
      <c r="AV16" s="267"/>
      <c r="AW16" s="230" t="s">
        <v>4</v>
      </c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2"/>
      <c r="BT16" s="27" t="b">
        <f>OR(AND(Z16=Service1!$C$46,AW16=Service1!$C$56),AND(AW16&lt;&gt;"0",Z16&lt;&gt;Service1!$C$46))</f>
        <v>1</v>
      </c>
      <c r="BU16" s="30" t="b">
        <f>OR(AND(CB16=Service1!$C$46,CY16=Service1!$C$56),AND(CY16&gt;"0",CB16&lt;&gt;Service1!$C$46))</f>
        <v>1</v>
      </c>
      <c r="BV16" s="233">
        <v>-1</v>
      </c>
      <c r="BW16" s="234"/>
      <c r="BX16" s="234"/>
      <c r="BY16" s="234"/>
      <c r="BZ16" s="234"/>
      <c r="CA16" s="235"/>
      <c r="CB16" s="230" t="s">
        <v>87</v>
      </c>
      <c r="CC16" s="231"/>
      <c r="CD16" s="231"/>
      <c r="CE16" s="231"/>
      <c r="CF16" s="231"/>
      <c r="CG16" s="231"/>
      <c r="CH16" s="231"/>
      <c r="CI16" s="231"/>
      <c r="CJ16" s="231"/>
      <c r="CK16" s="231"/>
      <c r="CL16" s="231"/>
      <c r="CM16" s="231"/>
      <c r="CN16" s="231"/>
      <c r="CO16" s="231"/>
      <c r="CP16" s="231"/>
      <c r="CQ16" s="231"/>
      <c r="CR16" s="231"/>
      <c r="CS16" s="231"/>
      <c r="CT16" s="231"/>
      <c r="CU16" s="231"/>
      <c r="CV16" s="231"/>
      <c r="CW16" s="231"/>
      <c r="CX16" s="232"/>
      <c r="CY16" s="230" t="s">
        <v>4</v>
      </c>
      <c r="CZ16" s="231"/>
      <c r="DA16" s="231"/>
      <c r="DB16" s="231"/>
      <c r="DC16" s="231"/>
      <c r="DD16" s="231"/>
      <c r="DE16" s="231"/>
      <c r="DF16" s="231"/>
      <c r="DG16" s="231"/>
      <c r="DH16" s="231"/>
      <c r="DI16" s="231"/>
      <c r="DJ16" s="231"/>
      <c r="DK16" s="231"/>
      <c r="DL16" s="231"/>
      <c r="DM16" s="231"/>
      <c r="DN16" s="231"/>
      <c r="DO16" s="231"/>
      <c r="DP16" s="231"/>
      <c r="DQ16" s="231"/>
      <c r="DR16" s="231"/>
      <c r="DS16" s="231"/>
      <c r="DT16" s="231"/>
      <c r="DU16" s="232"/>
      <c r="DV16" s="9"/>
      <c r="DW16" s="15"/>
      <c r="DX16" s="9"/>
      <c r="DY16" s="9"/>
      <c r="DZ16" s="10"/>
      <c r="EA16" s="10"/>
      <c r="EB16" s="10"/>
      <c r="EC16" s="10"/>
      <c r="ED16" s="10"/>
      <c r="EE16" s="11"/>
      <c r="EF16" s="11"/>
      <c r="EG16" s="11"/>
    </row>
    <row r="17" spans="1:159" ht="24.95" customHeight="1" x14ac:dyDescent="0.35">
      <c r="B17" s="3"/>
      <c r="C17" s="239" t="str">
        <f>Service1!D10</f>
        <v>Калачинск</v>
      </c>
      <c r="D17" s="240"/>
      <c r="E17" s="240"/>
      <c r="F17" s="240"/>
      <c r="G17" s="240"/>
      <c r="H17" s="240"/>
      <c r="I17" s="240"/>
      <c r="J17" s="240"/>
      <c r="K17" s="240"/>
      <c r="L17" s="240"/>
      <c r="M17" s="240"/>
      <c r="N17" s="240"/>
      <c r="O17" s="240"/>
      <c r="P17" s="240"/>
      <c r="Q17" s="240"/>
      <c r="R17" s="240"/>
      <c r="S17" s="241"/>
      <c r="T17" s="233">
        <v>16</v>
      </c>
      <c r="U17" s="234"/>
      <c r="V17" s="234"/>
      <c r="W17" s="234"/>
      <c r="X17" s="234"/>
      <c r="Y17" s="235"/>
      <c r="Z17" s="265" t="s">
        <v>89</v>
      </c>
      <c r="AA17" s="266"/>
      <c r="AB17" s="266"/>
      <c r="AC17" s="266"/>
      <c r="AD17" s="266"/>
      <c r="AE17" s="266"/>
      <c r="AF17" s="266"/>
      <c r="AG17" s="266"/>
      <c r="AH17" s="266"/>
      <c r="AI17" s="266"/>
      <c r="AJ17" s="266"/>
      <c r="AK17" s="266"/>
      <c r="AL17" s="266"/>
      <c r="AM17" s="266"/>
      <c r="AN17" s="266"/>
      <c r="AO17" s="266"/>
      <c r="AP17" s="266"/>
      <c r="AQ17" s="266"/>
      <c r="AR17" s="266"/>
      <c r="AS17" s="266"/>
      <c r="AT17" s="266"/>
      <c r="AU17" s="266"/>
      <c r="AV17" s="267"/>
      <c r="AW17" s="230" t="s">
        <v>4</v>
      </c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2"/>
      <c r="BT17" s="27" t="b">
        <f>OR(AND(Z17=Service1!$C$46,AW17=Service1!$C$56),AND(AW17&lt;&gt;"0",Z17&lt;&gt;Service1!$C$46))</f>
        <v>1</v>
      </c>
      <c r="BU17" s="30" t="b">
        <f>OR(AND(CB17=Service1!$C$46,CY17=Service1!$C$56),AND(CY17&gt;"0",CB17&lt;&gt;Service1!$C$46))</f>
        <v>1</v>
      </c>
      <c r="BV17" s="233">
        <v>2</v>
      </c>
      <c r="BW17" s="234"/>
      <c r="BX17" s="234"/>
      <c r="BY17" s="234"/>
      <c r="BZ17" s="234"/>
      <c r="CA17" s="235"/>
      <c r="CB17" s="230" t="s">
        <v>88</v>
      </c>
      <c r="CC17" s="231"/>
      <c r="CD17" s="231"/>
      <c r="CE17" s="231"/>
      <c r="CF17" s="231"/>
      <c r="CG17" s="231"/>
      <c r="CH17" s="231"/>
      <c r="CI17" s="231"/>
      <c r="CJ17" s="231"/>
      <c r="CK17" s="231"/>
      <c r="CL17" s="231"/>
      <c r="CM17" s="231"/>
      <c r="CN17" s="231"/>
      <c r="CO17" s="231"/>
      <c r="CP17" s="231"/>
      <c r="CQ17" s="231"/>
      <c r="CR17" s="231"/>
      <c r="CS17" s="231"/>
      <c r="CT17" s="231"/>
      <c r="CU17" s="231"/>
      <c r="CV17" s="231"/>
      <c r="CW17" s="231"/>
      <c r="CX17" s="232"/>
      <c r="CY17" s="230" t="s">
        <v>4</v>
      </c>
      <c r="CZ17" s="231"/>
      <c r="DA17" s="231"/>
      <c r="DB17" s="231"/>
      <c r="DC17" s="231"/>
      <c r="DD17" s="231"/>
      <c r="DE17" s="231"/>
      <c r="DF17" s="231"/>
      <c r="DG17" s="231"/>
      <c r="DH17" s="231"/>
      <c r="DI17" s="231"/>
      <c r="DJ17" s="231"/>
      <c r="DK17" s="231"/>
      <c r="DL17" s="231"/>
      <c r="DM17" s="231"/>
      <c r="DN17" s="231"/>
      <c r="DO17" s="231"/>
      <c r="DP17" s="231"/>
      <c r="DQ17" s="231"/>
      <c r="DR17" s="231"/>
      <c r="DS17" s="231"/>
      <c r="DT17" s="231"/>
      <c r="DU17" s="232"/>
      <c r="DV17" s="9"/>
      <c r="DW17" s="15"/>
      <c r="DX17" s="9"/>
      <c r="DY17" s="9"/>
      <c r="DZ17" s="10"/>
      <c r="EA17" s="10"/>
      <c r="EB17" s="10"/>
      <c r="EC17" s="10"/>
      <c r="ED17" s="10"/>
      <c r="EE17" s="11"/>
      <c r="EF17" s="11"/>
      <c r="EG17" s="11"/>
    </row>
    <row r="18" spans="1:159" ht="24.95" customHeight="1" x14ac:dyDescent="0.35">
      <c r="B18" s="3"/>
      <c r="C18" s="239" t="str">
        <f>Service1!D11</f>
        <v>Полтавка</v>
      </c>
      <c r="D18" s="240"/>
      <c r="E18" s="240"/>
      <c r="F18" s="240"/>
      <c r="G18" s="240"/>
      <c r="H18" s="240"/>
      <c r="I18" s="240"/>
      <c r="J18" s="240"/>
      <c r="K18" s="240"/>
      <c r="L18" s="240"/>
      <c r="M18" s="240"/>
      <c r="N18" s="240"/>
      <c r="O18" s="240"/>
      <c r="P18" s="240"/>
      <c r="Q18" s="240"/>
      <c r="R18" s="240"/>
      <c r="S18" s="241"/>
      <c r="T18" s="233">
        <v>16</v>
      </c>
      <c r="U18" s="234"/>
      <c r="V18" s="234"/>
      <c r="W18" s="234"/>
      <c r="X18" s="234"/>
      <c r="Y18" s="235"/>
      <c r="Z18" s="265" t="s">
        <v>89</v>
      </c>
      <c r="AA18" s="266"/>
      <c r="AB18" s="266"/>
      <c r="AC18" s="266"/>
      <c r="AD18" s="266"/>
      <c r="AE18" s="266"/>
      <c r="AF18" s="266"/>
      <c r="AG18" s="266"/>
      <c r="AH18" s="266"/>
      <c r="AI18" s="266"/>
      <c r="AJ18" s="266"/>
      <c r="AK18" s="266"/>
      <c r="AL18" s="266"/>
      <c r="AM18" s="266"/>
      <c r="AN18" s="266"/>
      <c r="AO18" s="266"/>
      <c r="AP18" s="266"/>
      <c r="AQ18" s="266"/>
      <c r="AR18" s="266"/>
      <c r="AS18" s="266"/>
      <c r="AT18" s="266"/>
      <c r="AU18" s="266"/>
      <c r="AV18" s="267"/>
      <c r="AW18" s="230" t="s">
        <v>4</v>
      </c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2"/>
      <c r="BT18" s="27" t="b">
        <f>OR(AND(Z18=Service1!$C$46,AW18=Service1!$C$56),AND(AW18&lt;&gt;"0",Z18&lt;&gt;Service1!$C$46))</f>
        <v>1</v>
      </c>
      <c r="BU18" s="30" t="b">
        <f>OR(AND(CB18=Service1!$C$46,CY18=Service1!$C$56),AND(CY18&gt;"0",CB18&lt;&gt;Service1!$C$46))</f>
        <v>1</v>
      </c>
      <c r="BV18" s="233">
        <v>0</v>
      </c>
      <c r="BW18" s="234"/>
      <c r="BX18" s="234"/>
      <c r="BY18" s="234"/>
      <c r="BZ18" s="234"/>
      <c r="CA18" s="235"/>
      <c r="CB18" s="230" t="s">
        <v>88</v>
      </c>
      <c r="CC18" s="231"/>
      <c r="CD18" s="231"/>
      <c r="CE18" s="231"/>
      <c r="CF18" s="231"/>
      <c r="CG18" s="231"/>
      <c r="CH18" s="231"/>
      <c r="CI18" s="231"/>
      <c r="CJ18" s="231"/>
      <c r="CK18" s="231"/>
      <c r="CL18" s="231"/>
      <c r="CM18" s="231"/>
      <c r="CN18" s="231"/>
      <c r="CO18" s="231"/>
      <c r="CP18" s="231"/>
      <c r="CQ18" s="231"/>
      <c r="CR18" s="231"/>
      <c r="CS18" s="231"/>
      <c r="CT18" s="231"/>
      <c r="CU18" s="231"/>
      <c r="CV18" s="231"/>
      <c r="CW18" s="231"/>
      <c r="CX18" s="232"/>
      <c r="CY18" s="230" t="s">
        <v>4</v>
      </c>
      <c r="CZ18" s="231"/>
      <c r="DA18" s="231"/>
      <c r="DB18" s="231"/>
      <c r="DC18" s="231"/>
      <c r="DD18" s="231"/>
      <c r="DE18" s="231"/>
      <c r="DF18" s="231"/>
      <c r="DG18" s="231"/>
      <c r="DH18" s="231"/>
      <c r="DI18" s="231"/>
      <c r="DJ18" s="231"/>
      <c r="DK18" s="231"/>
      <c r="DL18" s="231"/>
      <c r="DM18" s="231"/>
      <c r="DN18" s="231"/>
      <c r="DO18" s="231"/>
      <c r="DP18" s="231"/>
      <c r="DQ18" s="231"/>
      <c r="DR18" s="231"/>
      <c r="DS18" s="231"/>
      <c r="DT18" s="231"/>
      <c r="DU18" s="232"/>
      <c r="DV18" s="9"/>
      <c r="DW18" s="15"/>
      <c r="DX18" s="9"/>
      <c r="DY18" s="9"/>
      <c r="DZ18" s="10"/>
      <c r="EA18" s="10"/>
      <c r="EB18" s="10"/>
      <c r="EC18" s="10"/>
      <c r="ED18" s="10"/>
      <c r="EE18" s="11"/>
      <c r="EF18" s="11"/>
      <c r="EG18" s="11"/>
    </row>
    <row r="19" spans="1:159" ht="24.95" customHeight="1" x14ac:dyDescent="0.35">
      <c r="B19" s="3"/>
      <c r="C19" s="239" t="str">
        <f>Service1!D12</f>
        <v>Русская Поляна</v>
      </c>
      <c r="D19" s="240"/>
      <c r="E19" s="240"/>
      <c r="F19" s="240"/>
      <c r="G19" s="240"/>
      <c r="H19" s="240"/>
      <c r="I19" s="240"/>
      <c r="J19" s="240"/>
      <c r="K19" s="240"/>
      <c r="L19" s="240"/>
      <c r="M19" s="240"/>
      <c r="N19" s="240"/>
      <c r="O19" s="240"/>
      <c r="P19" s="240"/>
      <c r="Q19" s="240"/>
      <c r="R19" s="240"/>
      <c r="S19" s="241"/>
      <c r="T19" s="233">
        <v>15</v>
      </c>
      <c r="U19" s="234"/>
      <c r="V19" s="234"/>
      <c r="W19" s="234"/>
      <c r="X19" s="234"/>
      <c r="Y19" s="235"/>
      <c r="Z19" s="230" t="s">
        <v>88</v>
      </c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2"/>
      <c r="AW19" s="230" t="s">
        <v>4</v>
      </c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2"/>
      <c r="BT19" s="27" t="b">
        <f>OR(AND(Z19=Service1!$C$46,AW19=Service1!$C$56),AND(AW19&lt;&gt;"0",Z19&lt;&gt;Service1!$C$46))</f>
        <v>1</v>
      </c>
      <c r="BU19" s="30" t="b">
        <f>OR(AND(CB19=Service1!$C$46,CY19=Service1!$C$56),AND(CY19&gt;"0",CB19&lt;&gt;Service1!$C$46))</f>
        <v>1</v>
      </c>
      <c r="BV19" s="233">
        <v>1</v>
      </c>
      <c r="BW19" s="234"/>
      <c r="BX19" s="234"/>
      <c r="BY19" s="234"/>
      <c r="BZ19" s="234"/>
      <c r="CA19" s="235"/>
      <c r="CB19" s="230" t="s">
        <v>87</v>
      </c>
      <c r="CC19" s="231"/>
      <c r="CD19" s="231"/>
      <c r="CE19" s="231"/>
      <c r="CF19" s="231"/>
      <c r="CG19" s="231"/>
      <c r="CH19" s="231"/>
      <c r="CI19" s="231"/>
      <c r="CJ19" s="231"/>
      <c r="CK19" s="231"/>
      <c r="CL19" s="231"/>
      <c r="CM19" s="231"/>
      <c r="CN19" s="231"/>
      <c r="CO19" s="231"/>
      <c r="CP19" s="231"/>
      <c r="CQ19" s="231"/>
      <c r="CR19" s="231"/>
      <c r="CS19" s="231"/>
      <c r="CT19" s="231"/>
      <c r="CU19" s="231"/>
      <c r="CV19" s="231"/>
      <c r="CW19" s="231"/>
      <c r="CX19" s="232"/>
      <c r="CY19" s="230" t="s">
        <v>4</v>
      </c>
      <c r="CZ19" s="231"/>
      <c r="DA19" s="231"/>
      <c r="DB19" s="231"/>
      <c r="DC19" s="231"/>
      <c r="DD19" s="231"/>
      <c r="DE19" s="231"/>
      <c r="DF19" s="231"/>
      <c r="DG19" s="231"/>
      <c r="DH19" s="231"/>
      <c r="DI19" s="231"/>
      <c r="DJ19" s="231"/>
      <c r="DK19" s="231"/>
      <c r="DL19" s="231"/>
      <c r="DM19" s="231"/>
      <c r="DN19" s="231"/>
      <c r="DO19" s="231"/>
      <c r="DP19" s="231"/>
      <c r="DQ19" s="231"/>
      <c r="DR19" s="231"/>
      <c r="DS19" s="231"/>
      <c r="DT19" s="231"/>
      <c r="DU19" s="232"/>
      <c r="DV19" s="9"/>
      <c r="DW19" s="15"/>
      <c r="DX19" s="9"/>
      <c r="DY19" s="9"/>
      <c r="DZ19" s="10"/>
      <c r="EA19" s="10"/>
      <c r="EB19" s="10"/>
      <c r="EC19" s="10"/>
      <c r="ED19" s="10"/>
      <c r="EE19" s="11"/>
      <c r="EF19" s="11"/>
      <c r="EG19" s="11"/>
    </row>
    <row r="20" spans="1:159" ht="24.95" customHeight="1" x14ac:dyDescent="0.35">
      <c r="B20" s="3"/>
      <c r="C20" s="239" t="str">
        <f>Service1!D13</f>
        <v>Черлак</v>
      </c>
      <c r="D20" s="240"/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1"/>
      <c r="T20" s="233">
        <v>16</v>
      </c>
      <c r="U20" s="234"/>
      <c r="V20" s="234"/>
      <c r="W20" s="234"/>
      <c r="X20" s="234"/>
      <c r="Y20" s="235"/>
      <c r="Z20" s="230" t="s">
        <v>89</v>
      </c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2"/>
      <c r="AW20" s="230" t="s">
        <v>4</v>
      </c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2"/>
      <c r="BT20" s="27" t="b">
        <f>OR(AND(Z20=Service1!$C$46,AW20=Service1!$C$56),AND(AW20&lt;&gt;"0",Z20&lt;&gt;Service1!$C$46))</f>
        <v>1</v>
      </c>
      <c r="BU20" s="30" t="b">
        <f>OR(AND(CB20=Service1!$C$46,CY20=Service1!$C$56),AND(CY20&gt;"0",CB20&lt;&gt;Service1!$C$46))</f>
        <v>1</v>
      </c>
      <c r="BV20" s="233">
        <v>1</v>
      </c>
      <c r="BW20" s="234"/>
      <c r="BX20" s="234"/>
      <c r="BY20" s="234"/>
      <c r="BZ20" s="234"/>
      <c r="CA20" s="235"/>
      <c r="CB20" s="230" t="s">
        <v>87</v>
      </c>
      <c r="CC20" s="231"/>
      <c r="CD20" s="231"/>
      <c r="CE20" s="231"/>
      <c r="CF20" s="231"/>
      <c r="CG20" s="231"/>
      <c r="CH20" s="231"/>
      <c r="CI20" s="231"/>
      <c r="CJ20" s="231"/>
      <c r="CK20" s="231"/>
      <c r="CL20" s="231"/>
      <c r="CM20" s="231"/>
      <c r="CN20" s="231"/>
      <c r="CO20" s="231"/>
      <c r="CP20" s="231"/>
      <c r="CQ20" s="231"/>
      <c r="CR20" s="231"/>
      <c r="CS20" s="231"/>
      <c r="CT20" s="231"/>
      <c r="CU20" s="231"/>
      <c r="CV20" s="231"/>
      <c r="CW20" s="231"/>
      <c r="CX20" s="232"/>
      <c r="CY20" s="230" t="s">
        <v>4</v>
      </c>
      <c r="CZ20" s="231"/>
      <c r="DA20" s="231"/>
      <c r="DB20" s="231"/>
      <c r="DC20" s="231"/>
      <c r="DD20" s="231"/>
      <c r="DE20" s="231"/>
      <c r="DF20" s="231"/>
      <c r="DG20" s="231"/>
      <c r="DH20" s="231"/>
      <c r="DI20" s="231"/>
      <c r="DJ20" s="231"/>
      <c r="DK20" s="231"/>
      <c r="DL20" s="231"/>
      <c r="DM20" s="231"/>
      <c r="DN20" s="231"/>
      <c r="DO20" s="231"/>
      <c r="DP20" s="231"/>
      <c r="DQ20" s="231"/>
      <c r="DR20" s="231"/>
      <c r="DS20" s="231"/>
      <c r="DT20" s="231"/>
      <c r="DU20" s="232"/>
      <c r="DV20" s="9"/>
      <c r="DW20" s="15"/>
      <c r="DX20" s="9"/>
      <c r="DY20" s="9"/>
      <c r="DZ20" s="10"/>
      <c r="EA20" s="10"/>
      <c r="EB20" s="10"/>
      <c r="EC20" s="10"/>
      <c r="ED20" s="10"/>
      <c r="EE20" s="11"/>
      <c r="EF20" s="11"/>
      <c r="EG20" s="11"/>
    </row>
    <row r="21" spans="1:159" ht="24.95" customHeight="1" x14ac:dyDescent="0.35">
      <c r="B21" s="3"/>
      <c r="C21" s="239" t="str">
        <f>Service1!D14</f>
        <v>Одесское</v>
      </c>
      <c r="D21" s="240"/>
      <c r="E21" s="240"/>
      <c r="F21" s="240"/>
      <c r="G21" s="240"/>
      <c r="H21" s="240"/>
      <c r="I21" s="240"/>
      <c r="J21" s="240"/>
      <c r="K21" s="240"/>
      <c r="L21" s="240"/>
      <c r="M21" s="240"/>
      <c r="N21" s="240"/>
      <c r="O21" s="240"/>
      <c r="P21" s="240"/>
      <c r="Q21" s="240"/>
      <c r="R21" s="240"/>
      <c r="S21" s="241"/>
      <c r="T21" s="233">
        <v>16</v>
      </c>
      <c r="U21" s="234"/>
      <c r="V21" s="234"/>
      <c r="W21" s="234"/>
      <c r="X21" s="234"/>
      <c r="Y21" s="235"/>
      <c r="Z21" s="230" t="s">
        <v>89</v>
      </c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2"/>
      <c r="AW21" s="230" t="s">
        <v>4</v>
      </c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2"/>
      <c r="BT21" s="27" t="b">
        <f>OR(AND(Z21=Service1!$C$46,AW21=Service1!$C$56),AND(AW21&lt;&gt;"0",Z21&lt;&gt;Service1!$C$46))</f>
        <v>1</v>
      </c>
      <c r="BU21" s="30" t="b">
        <f>OR(AND(CB21=Service1!$C$46,CY21=Service1!$C$56),AND(CY21&gt;"0",CB21&lt;&gt;Service1!$C$46))</f>
        <v>1</v>
      </c>
      <c r="BV21" s="233">
        <v>1</v>
      </c>
      <c r="BW21" s="234"/>
      <c r="BX21" s="234"/>
      <c r="BY21" s="234"/>
      <c r="BZ21" s="234"/>
      <c r="CA21" s="235"/>
      <c r="CB21" s="230" t="s">
        <v>87</v>
      </c>
      <c r="CC21" s="231"/>
      <c r="CD21" s="231"/>
      <c r="CE21" s="231"/>
      <c r="CF21" s="231"/>
      <c r="CG21" s="231"/>
      <c r="CH21" s="231"/>
      <c r="CI21" s="231"/>
      <c r="CJ21" s="231"/>
      <c r="CK21" s="231"/>
      <c r="CL21" s="231"/>
      <c r="CM21" s="231"/>
      <c r="CN21" s="231"/>
      <c r="CO21" s="231"/>
      <c r="CP21" s="231"/>
      <c r="CQ21" s="231"/>
      <c r="CR21" s="231"/>
      <c r="CS21" s="231"/>
      <c r="CT21" s="231"/>
      <c r="CU21" s="231"/>
      <c r="CV21" s="231"/>
      <c r="CW21" s="231"/>
      <c r="CX21" s="232"/>
      <c r="CY21" s="230" t="s">
        <v>4</v>
      </c>
      <c r="CZ21" s="231"/>
      <c r="DA21" s="231"/>
      <c r="DB21" s="231"/>
      <c r="DC21" s="231"/>
      <c r="DD21" s="231"/>
      <c r="DE21" s="231"/>
      <c r="DF21" s="231"/>
      <c r="DG21" s="231"/>
      <c r="DH21" s="231"/>
      <c r="DI21" s="231"/>
      <c r="DJ21" s="231"/>
      <c r="DK21" s="231"/>
      <c r="DL21" s="231"/>
      <c r="DM21" s="231"/>
      <c r="DN21" s="231"/>
      <c r="DO21" s="231"/>
      <c r="DP21" s="231"/>
      <c r="DQ21" s="231"/>
      <c r="DR21" s="231"/>
      <c r="DS21" s="231"/>
      <c r="DT21" s="231"/>
      <c r="DU21" s="232"/>
      <c r="DV21" s="9"/>
      <c r="DW21" s="15"/>
      <c r="DX21" s="9"/>
      <c r="DY21" s="9"/>
      <c r="DZ21" s="10"/>
      <c r="EA21" s="10"/>
      <c r="EB21" s="10"/>
      <c r="EC21" s="10"/>
      <c r="ED21" s="10"/>
      <c r="EE21" s="11"/>
      <c r="EF21" s="11"/>
      <c r="EG21" s="11"/>
    </row>
    <row r="22" spans="1:159" ht="24.95" customHeight="1" x14ac:dyDescent="0.35">
      <c r="B22" s="3"/>
      <c r="C22" s="239" t="str">
        <f>Service1!D15</f>
        <v>Павлоградка</v>
      </c>
      <c r="D22" s="240"/>
      <c r="E22" s="240"/>
      <c r="F22" s="240"/>
      <c r="G22" s="240"/>
      <c r="H22" s="240"/>
      <c r="I22" s="240"/>
      <c r="J22" s="240"/>
      <c r="K22" s="240"/>
      <c r="L22" s="240"/>
      <c r="M22" s="240"/>
      <c r="N22" s="240"/>
      <c r="O22" s="240"/>
      <c r="P22" s="240"/>
      <c r="Q22" s="240"/>
      <c r="R22" s="240"/>
      <c r="S22" s="241"/>
      <c r="T22" s="233">
        <v>16</v>
      </c>
      <c r="U22" s="234"/>
      <c r="V22" s="234"/>
      <c r="W22" s="234"/>
      <c r="X22" s="234"/>
      <c r="Y22" s="235"/>
      <c r="Z22" s="230" t="s">
        <v>89</v>
      </c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2"/>
      <c r="AW22" s="230" t="s">
        <v>4</v>
      </c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2"/>
      <c r="BT22" s="27" t="b">
        <f>OR(AND(Z22=Service1!$C$46,AW22=Service1!$C$56),AND(AW22&lt;&gt;"0",Z22&lt;&gt;Service1!$C$46))</f>
        <v>1</v>
      </c>
      <c r="BU22" s="30" t="b">
        <f>OR(AND(CB22=Service1!$C$46,CY22=Service1!$C$56),AND(CY22&gt;"0",CB22&lt;&gt;Service1!$C$46))</f>
        <v>1</v>
      </c>
      <c r="BV22" s="233">
        <v>1</v>
      </c>
      <c r="BW22" s="234"/>
      <c r="BX22" s="234"/>
      <c r="BY22" s="234"/>
      <c r="BZ22" s="234"/>
      <c r="CA22" s="235"/>
      <c r="CB22" s="230" t="s">
        <v>87</v>
      </c>
      <c r="CC22" s="231"/>
      <c r="CD22" s="231"/>
      <c r="CE22" s="231"/>
      <c r="CF22" s="231"/>
      <c r="CG22" s="231"/>
      <c r="CH22" s="231"/>
      <c r="CI22" s="231"/>
      <c r="CJ22" s="231"/>
      <c r="CK22" s="231"/>
      <c r="CL22" s="231"/>
      <c r="CM22" s="231"/>
      <c r="CN22" s="231"/>
      <c r="CO22" s="231"/>
      <c r="CP22" s="231"/>
      <c r="CQ22" s="231"/>
      <c r="CR22" s="231"/>
      <c r="CS22" s="231"/>
      <c r="CT22" s="231"/>
      <c r="CU22" s="231"/>
      <c r="CV22" s="231"/>
      <c r="CW22" s="231"/>
      <c r="CX22" s="232"/>
      <c r="CY22" s="230" t="s">
        <v>4</v>
      </c>
      <c r="CZ22" s="231"/>
      <c r="DA22" s="231"/>
      <c r="DB22" s="231"/>
      <c r="DC22" s="231"/>
      <c r="DD22" s="231"/>
      <c r="DE22" s="231"/>
      <c r="DF22" s="231"/>
      <c r="DG22" s="231"/>
      <c r="DH22" s="231"/>
      <c r="DI22" s="231"/>
      <c r="DJ22" s="231"/>
      <c r="DK22" s="231"/>
      <c r="DL22" s="231"/>
      <c r="DM22" s="231"/>
      <c r="DN22" s="231"/>
      <c r="DO22" s="231"/>
      <c r="DP22" s="231"/>
      <c r="DQ22" s="231"/>
      <c r="DR22" s="231"/>
      <c r="DS22" s="231"/>
      <c r="DT22" s="231"/>
      <c r="DU22" s="232"/>
      <c r="DV22" s="9"/>
      <c r="DW22" s="15"/>
      <c r="DX22" s="9"/>
      <c r="DY22" s="9"/>
      <c r="DZ22" s="10"/>
      <c r="EA22" s="10"/>
      <c r="EB22" s="10"/>
      <c r="EC22" s="10"/>
      <c r="ED22" s="10"/>
      <c r="EE22" s="11"/>
      <c r="EF22" s="11"/>
      <c r="EG22" s="11"/>
    </row>
    <row r="23" spans="1:159" ht="15.75" thickBot="1" x14ac:dyDescent="0.3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1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22"/>
      <c r="BU23" s="22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14"/>
    </row>
    <row r="24" spans="1:159" ht="15.75" thickTop="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29"/>
      <c r="BU24" s="29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4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ht="24.95" customHeight="1" x14ac:dyDescent="0.25">
      <c r="C25" s="242" t="s">
        <v>35</v>
      </c>
      <c r="D25" s="243"/>
      <c r="E25" s="243"/>
      <c r="F25" s="243"/>
      <c r="G25" s="243"/>
      <c r="H25" s="243"/>
      <c r="I25" s="243"/>
      <c r="J25" s="243"/>
      <c r="K25" s="244"/>
      <c r="L25" s="257" t="s">
        <v>228</v>
      </c>
      <c r="M25" s="258"/>
      <c r="N25" s="258"/>
      <c r="O25" s="258"/>
      <c r="P25" s="258"/>
      <c r="Q25" s="258"/>
      <c r="R25" s="258"/>
      <c r="S25" s="258"/>
      <c r="T25" s="258"/>
      <c r="U25" s="259"/>
      <c r="W25" s="242" t="str">
        <f>UPPER(Service2!C10)</f>
        <v>СУББОТА</v>
      </c>
      <c r="X25" s="243"/>
      <c r="Y25" s="243"/>
      <c r="Z25" s="243"/>
      <c r="AA25" s="243"/>
      <c r="AB25" s="243"/>
      <c r="AC25" s="243"/>
      <c r="AD25" s="243"/>
      <c r="AE25" s="244"/>
      <c r="AF25" s="5"/>
      <c r="AG25" s="236" t="str">
        <f>Service2!C14</f>
        <v>5 октября</v>
      </c>
      <c r="AH25" s="237"/>
      <c r="AI25" s="237"/>
      <c r="AJ25" s="237"/>
      <c r="AK25" s="237"/>
      <c r="AL25" s="237"/>
      <c r="AM25" s="237"/>
      <c r="AN25" s="237"/>
      <c r="AO25" s="237"/>
      <c r="AP25" s="237"/>
      <c r="AQ25" s="237"/>
      <c r="AR25" s="238"/>
      <c r="AS25" s="6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95"/>
      <c r="BN25" s="242" t="s">
        <v>84</v>
      </c>
      <c r="BO25" s="243"/>
      <c r="BP25" s="243"/>
      <c r="BQ25" s="243"/>
      <c r="BR25" s="243"/>
      <c r="BS25" s="243"/>
      <c r="BT25" s="243"/>
      <c r="BU25" s="243"/>
      <c r="BV25" s="243"/>
      <c r="BW25" s="243"/>
      <c r="BX25" s="243"/>
      <c r="BY25" s="243"/>
      <c r="BZ25" s="243"/>
      <c r="CA25" s="243"/>
      <c r="CB25" s="243"/>
      <c r="CC25" s="243"/>
      <c r="CD25" s="243"/>
      <c r="CE25" s="243"/>
      <c r="CF25" s="243"/>
      <c r="CG25" s="243"/>
      <c r="CH25" s="243"/>
      <c r="CI25" s="243"/>
      <c r="CJ25" s="243"/>
      <c r="CK25" s="243"/>
      <c r="CL25" s="243"/>
      <c r="CM25" s="243"/>
      <c r="CN25" s="243"/>
      <c r="CO25" s="243"/>
      <c r="CP25" s="243"/>
      <c r="CQ25" s="243"/>
      <c r="CR25" s="243"/>
      <c r="CS25" s="243"/>
      <c r="CT25" s="243"/>
      <c r="CU25" s="243"/>
      <c r="CV25" s="243"/>
      <c r="CW25" s="243"/>
      <c r="CX25" s="243"/>
      <c r="CY25" s="243"/>
      <c r="CZ25" s="243"/>
      <c r="DA25" s="243"/>
      <c r="DB25" s="243"/>
      <c r="DC25" s="243"/>
      <c r="DD25" s="243"/>
      <c r="DE25" s="243"/>
      <c r="DF25" s="243"/>
      <c r="DG25" s="243"/>
      <c r="DH25" s="243"/>
      <c r="DI25" s="243"/>
      <c r="DJ25" s="243"/>
      <c r="DK25" s="243"/>
      <c r="DL25" s="243"/>
      <c r="DM25" s="243"/>
      <c r="DN25" s="243"/>
      <c r="DO25" s="243"/>
      <c r="DP25" s="243"/>
      <c r="DQ25" s="243"/>
      <c r="DR25" s="243"/>
      <c r="DS25" s="243"/>
      <c r="DT25" s="243"/>
      <c r="DU25" s="244"/>
      <c r="DW25" s="14"/>
    </row>
    <row r="26" spans="1:159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23"/>
      <c r="BU26" s="23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W26" s="14"/>
    </row>
    <row r="27" spans="1:159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245" t="s">
        <v>12</v>
      </c>
      <c r="U27" s="246"/>
      <c r="V27" s="246"/>
      <c r="W27" s="246"/>
      <c r="X27" s="246"/>
      <c r="Y27" s="246"/>
      <c r="Z27" s="246"/>
      <c r="AA27" s="246"/>
      <c r="AB27" s="246"/>
      <c r="AC27" s="246"/>
      <c r="AD27" s="246"/>
      <c r="AE27" s="246"/>
      <c r="AF27" s="246"/>
      <c r="AG27" s="246"/>
      <c r="AH27" s="246"/>
      <c r="AI27" s="246"/>
      <c r="AJ27" s="246"/>
      <c r="AK27" s="246"/>
      <c r="AL27" s="246"/>
      <c r="AM27" s="246"/>
      <c r="AN27" s="246"/>
      <c r="AO27" s="246"/>
      <c r="AP27" s="246"/>
      <c r="AQ27" s="246"/>
      <c r="AR27" s="246"/>
      <c r="AS27" s="246"/>
      <c r="AT27" s="246"/>
      <c r="AU27" s="246"/>
      <c r="AV27" s="246"/>
      <c r="AW27" s="246"/>
      <c r="AX27" s="246"/>
      <c r="AY27" s="246"/>
      <c r="AZ27" s="246"/>
      <c r="BA27" s="246"/>
      <c r="BB27" s="246"/>
      <c r="BC27" s="246"/>
      <c r="BD27" s="246"/>
      <c r="BE27" s="246"/>
      <c r="BF27" s="246"/>
      <c r="BG27" s="246"/>
      <c r="BH27" s="246"/>
      <c r="BI27" s="246"/>
      <c r="BJ27" s="246"/>
      <c r="BK27" s="246"/>
      <c r="BL27" s="246"/>
      <c r="BM27" s="246"/>
      <c r="BN27" s="246"/>
      <c r="BO27" s="246"/>
      <c r="BP27" s="246"/>
      <c r="BQ27" s="246"/>
      <c r="BR27" s="246"/>
      <c r="BS27" s="247"/>
      <c r="BT27" s="22"/>
      <c r="BU27" s="22"/>
      <c r="BV27" s="245" t="s">
        <v>33</v>
      </c>
      <c r="BW27" s="246"/>
      <c r="BX27" s="246"/>
      <c r="BY27" s="246"/>
      <c r="BZ27" s="246"/>
      <c r="CA27" s="246"/>
      <c r="CB27" s="246"/>
      <c r="CC27" s="246"/>
      <c r="CD27" s="246"/>
      <c r="CE27" s="246"/>
      <c r="CF27" s="246"/>
      <c r="CG27" s="246"/>
      <c r="CH27" s="246"/>
      <c r="CI27" s="246"/>
      <c r="CJ27" s="246"/>
      <c r="CK27" s="246"/>
      <c r="CL27" s="246"/>
      <c r="CM27" s="246"/>
      <c r="CN27" s="246"/>
      <c r="CO27" s="246"/>
      <c r="CP27" s="246"/>
      <c r="CQ27" s="246"/>
      <c r="CR27" s="246"/>
      <c r="CS27" s="246"/>
      <c r="CT27" s="246"/>
      <c r="CU27" s="246"/>
      <c r="CV27" s="246"/>
      <c r="CW27" s="246"/>
      <c r="CX27" s="246"/>
      <c r="CY27" s="246"/>
      <c r="CZ27" s="246"/>
      <c r="DA27" s="246"/>
      <c r="DB27" s="246"/>
      <c r="DC27" s="246"/>
      <c r="DD27" s="246"/>
      <c r="DE27" s="246"/>
      <c r="DF27" s="246"/>
      <c r="DG27" s="246"/>
      <c r="DH27" s="246"/>
      <c r="DI27" s="246"/>
      <c r="DJ27" s="246"/>
      <c r="DK27" s="246"/>
      <c r="DL27" s="246"/>
      <c r="DM27" s="246"/>
      <c r="DN27" s="246"/>
      <c r="DO27" s="246"/>
      <c r="DP27" s="246"/>
      <c r="DQ27" s="246"/>
      <c r="DR27" s="246"/>
      <c r="DS27" s="246"/>
      <c r="DT27" s="246"/>
      <c r="DU27" s="247"/>
      <c r="DW27" s="14"/>
    </row>
    <row r="28" spans="1:159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248" t="s">
        <v>34</v>
      </c>
      <c r="U28" s="248"/>
      <c r="V28" s="248"/>
      <c r="W28" s="248"/>
      <c r="X28" s="248"/>
      <c r="Y28" s="248"/>
      <c r="Z28" s="248"/>
      <c r="AA28" s="248"/>
      <c r="AB28" s="248"/>
      <c r="AC28" s="248"/>
      <c r="AD28" s="248"/>
      <c r="AE28" s="248"/>
      <c r="AF28" s="248"/>
      <c r="AG28" s="248"/>
      <c r="AH28" s="248"/>
      <c r="AI28" s="248"/>
      <c r="AJ28" s="248"/>
      <c r="AK28" s="248"/>
      <c r="AL28" s="242" t="s">
        <v>40</v>
      </c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4"/>
      <c r="BC28" s="245" t="s">
        <v>41</v>
      </c>
      <c r="BD28" s="246"/>
      <c r="BE28" s="246"/>
      <c r="BF28" s="246"/>
      <c r="BG28" s="246"/>
      <c r="BH28" s="246"/>
      <c r="BI28" s="246"/>
      <c r="BJ28" s="246"/>
      <c r="BK28" s="246"/>
      <c r="BL28" s="246"/>
      <c r="BM28" s="246"/>
      <c r="BN28" s="246"/>
      <c r="BO28" s="246"/>
      <c r="BP28" s="246"/>
      <c r="BQ28" s="246"/>
      <c r="BR28" s="246"/>
      <c r="BS28" s="247"/>
      <c r="BT28" s="22"/>
      <c r="BU28" s="22"/>
      <c r="BV28" s="248" t="s">
        <v>34</v>
      </c>
      <c r="BW28" s="248"/>
      <c r="BX28" s="248"/>
      <c r="BY28" s="248"/>
      <c r="BZ28" s="248"/>
      <c r="CA28" s="248"/>
      <c r="CB28" s="248"/>
      <c r="CC28" s="248"/>
      <c r="CD28" s="248"/>
      <c r="CE28" s="248"/>
      <c r="CF28" s="248"/>
      <c r="CG28" s="248"/>
      <c r="CH28" s="248"/>
      <c r="CI28" s="248"/>
      <c r="CJ28" s="248"/>
      <c r="CK28" s="248"/>
      <c r="CL28" s="248"/>
      <c r="CM28" s="248"/>
      <c r="CN28" s="242" t="s">
        <v>40</v>
      </c>
      <c r="CO28" s="243"/>
      <c r="CP28" s="243"/>
      <c r="CQ28" s="243"/>
      <c r="CR28" s="243"/>
      <c r="CS28" s="243"/>
      <c r="CT28" s="243"/>
      <c r="CU28" s="243"/>
      <c r="CV28" s="243"/>
      <c r="CW28" s="243"/>
      <c r="CX28" s="243"/>
      <c r="CY28" s="243"/>
      <c r="CZ28" s="243"/>
      <c r="DA28" s="243"/>
      <c r="DB28" s="243"/>
      <c r="DC28" s="243"/>
      <c r="DD28" s="244"/>
      <c r="DE28" s="245" t="s">
        <v>41</v>
      </c>
      <c r="DF28" s="246"/>
      <c r="DG28" s="246"/>
      <c r="DH28" s="246"/>
      <c r="DI28" s="246"/>
      <c r="DJ28" s="246"/>
      <c r="DK28" s="246"/>
      <c r="DL28" s="246"/>
      <c r="DM28" s="246"/>
      <c r="DN28" s="246"/>
      <c r="DO28" s="246"/>
      <c r="DP28" s="246"/>
      <c r="DQ28" s="246"/>
      <c r="DR28" s="246"/>
      <c r="DS28" s="246"/>
      <c r="DT28" s="246"/>
      <c r="DU28" s="247"/>
      <c r="DW28" s="14"/>
    </row>
    <row r="29" spans="1:159" ht="24.95" customHeight="1" x14ac:dyDescent="0.25">
      <c r="C29" s="239" t="str">
        <f>Service1!C6</f>
        <v>Омск</v>
      </c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1"/>
      <c r="T29" s="249" t="s">
        <v>16</v>
      </c>
      <c r="U29" s="250"/>
      <c r="V29" s="250"/>
      <c r="W29" s="250"/>
      <c r="X29" s="250"/>
      <c r="Y29" s="250"/>
      <c r="Z29" s="250"/>
      <c r="AA29" s="250"/>
      <c r="AB29" s="250"/>
      <c r="AC29" s="250"/>
      <c r="AD29" s="250"/>
      <c r="AE29" s="250"/>
      <c r="AF29" s="250"/>
      <c r="AG29" s="250"/>
      <c r="AH29" s="250"/>
      <c r="AI29" s="250"/>
      <c r="AJ29" s="250"/>
      <c r="AK29" s="251"/>
      <c r="AL29" s="252" t="s">
        <v>230</v>
      </c>
      <c r="AM29" s="253"/>
      <c r="AN29" s="253"/>
      <c r="AO29" s="253"/>
      <c r="AP29" s="253"/>
      <c r="AQ29" s="253"/>
      <c r="AR29" s="253"/>
      <c r="AS29" s="253"/>
      <c r="AT29" s="253"/>
      <c r="AU29" s="253"/>
      <c r="AV29" s="253"/>
      <c r="AW29" s="253"/>
      <c r="AX29" s="253"/>
      <c r="AY29" s="253"/>
      <c r="AZ29" s="253"/>
      <c r="BA29" s="253"/>
      <c r="BB29" s="254"/>
      <c r="BC29" s="255">
        <v>754</v>
      </c>
      <c r="BD29" s="255"/>
      <c r="BE29" s="255"/>
      <c r="BF29" s="255"/>
      <c r="BG29" s="255"/>
      <c r="BH29" s="255"/>
      <c r="BI29" s="255"/>
      <c r="BJ29" s="255"/>
      <c r="BK29" s="255"/>
      <c r="BL29" s="255"/>
      <c r="BM29" s="255"/>
      <c r="BN29" s="255"/>
      <c r="BO29" s="255"/>
      <c r="BP29" s="255"/>
      <c r="BQ29" s="255"/>
      <c r="BR29" s="255"/>
      <c r="BS29" s="256"/>
      <c r="BT29" s="24"/>
      <c r="BU29" s="24"/>
      <c r="BV29" s="249" t="s">
        <v>16</v>
      </c>
      <c r="BW29" s="250"/>
      <c r="BX29" s="250"/>
      <c r="BY29" s="250"/>
      <c r="BZ29" s="250"/>
      <c r="CA29" s="250"/>
      <c r="CB29" s="250"/>
      <c r="CC29" s="250"/>
      <c r="CD29" s="250"/>
      <c r="CE29" s="250"/>
      <c r="CF29" s="250"/>
      <c r="CG29" s="250"/>
      <c r="CH29" s="250"/>
      <c r="CI29" s="250"/>
      <c r="CJ29" s="250"/>
      <c r="CK29" s="250"/>
      <c r="CL29" s="250"/>
      <c r="CM29" s="251"/>
      <c r="CN29" s="252" t="s">
        <v>230</v>
      </c>
      <c r="CO29" s="253"/>
      <c r="CP29" s="253"/>
      <c r="CQ29" s="253"/>
      <c r="CR29" s="253"/>
      <c r="CS29" s="253"/>
      <c r="CT29" s="253"/>
      <c r="CU29" s="253"/>
      <c r="CV29" s="253"/>
      <c r="CW29" s="253"/>
      <c r="CX29" s="253"/>
      <c r="CY29" s="253"/>
      <c r="CZ29" s="253"/>
      <c r="DA29" s="253"/>
      <c r="DB29" s="253"/>
      <c r="DC29" s="253"/>
      <c r="DD29" s="254"/>
      <c r="DE29" s="255">
        <v>750</v>
      </c>
      <c r="DF29" s="255"/>
      <c r="DG29" s="255"/>
      <c r="DH29" s="255"/>
      <c r="DI29" s="255"/>
      <c r="DJ29" s="255"/>
      <c r="DK29" s="255"/>
      <c r="DL29" s="255"/>
      <c r="DM29" s="255"/>
      <c r="DN29" s="255"/>
      <c r="DO29" s="255"/>
      <c r="DP29" s="255"/>
      <c r="DQ29" s="255"/>
      <c r="DR29" s="255"/>
      <c r="DS29" s="255"/>
      <c r="DT29" s="255"/>
      <c r="DU29" s="256"/>
      <c r="DW29" s="14"/>
    </row>
    <row r="30" spans="1:159" x14ac:dyDescent="0.25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8"/>
      <c r="P30" s="8"/>
      <c r="Q30" s="8"/>
      <c r="R30" s="8"/>
      <c r="S30" s="8"/>
      <c r="T30" s="245" t="s">
        <v>42</v>
      </c>
      <c r="U30" s="246"/>
      <c r="V30" s="246"/>
      <c r="W30" s="246"/>
      <c r="X30" s="246"/>
      <c r="Y30" s="247"/>
      <c r="Z30" s="245" t="s">
        <v>87</v>
      </c>
      <c r="AA30" s="246"/>
      <c r="AB30" s="246"/>
      <c r="AC30" s="246"/>
      <c r="AD30" s="246"/>
      <c r="AE30" s="246"/>
      <c r="AF30" s="246"/>
      <c r="AG30" s="246"/>
      <c r="AH30" s="246"/>
      <c r="AI30" s="246"/>
      <c r="AJ30" s="246"/>
      <c r="AK30" s="246"/>
      <c r="AL30" s="246"/>
      <c r="AM30" s="246"/>
      <c r="AN30" s="246"/>
      <c r="AO30" s="246"/>
      <c r="AP30" s="246"/>
      <c r="AQ30" s="246"/>
      <c r="AR30" s="246"/>
      <c r="AS30" s="246"/>
      <c r="AT30" s="246"/>
      <c r="AU30" s="246"/>
      <c r="AV30" s="247"/>
      <c r="AW30" s="245" t="s">
        <v>4</v>
      </c>
      <c r="AX30" s="246"/>
      <c r="AY30" s="246"/>
      <c r="AZ30" s="246"/>
      <c r="BA30" s="246"/>
      <c r="BB30" s="246"/>
      <c r="BC30" s="246"/>
      <c r="BD30" s="246"/>
      <c r="BE30" s="246"/>
      <c r="BF30" s="246"/>
      <c r="BG30" s="246"/>
      <c r="BH30" s="246"/>
      <c r="BI30" s="246"/>
      <c r="BJ30" s="246"/>
      <c r="BK30" s="246"/>
      <c r="BL30" s="246"/>
      <c r="BM30" s="246"/>
      <c r="BN30" s="246"/>
      <c r="BO30" s="246"/>
      <c r="BP30" s="246"/>
      <c r="BQ30" s="246"/>
      <c r="BR30" s="246"/>
      <c r="BS30" s="247"/>
      <c r="BT30" s="25"/>
      <c r="BV30" s="245" t="s">
        <v>42</v>
      </c>
      <c r="BW30" s="246"/>
      <c r="BX30" s="246"/>
      <c r="BY30" s="246"/>
      <c r="BZ30" s="246"/>
      <c r="CA30" s="247"/>
      <c r="CB30" s="245" t="s">
        <v>2</v>
      </c>
      <c r="CC30" s="246"/>
      <c r="CD30" s="246"/>
      <c r="CE30" s="246"/>
      <c r="CF30" s="246"/>
      <c r="CG30" s="246"/>
      <c r="CH30" s="246"/>
      <c r="CI30" s="246"/>
      <c r="CJ30" s="246"/>
      <c r="CK30" s="246"/>
      <c r="CL30" s="246"/>
      <c r="CM30" s="246"/>
      <c r="CN30" s="246"/>
      <c r="CO30" s="246"/>
      <c r="CP30" s="246"/>
      <c r="CQ30" s="246"/>
      <c r="CR30" s="246"/>
      <c r="CS30" s="246"/>
      <c r="CT30" s="246"/>
      <c r="CU30" s="246"/>
      <c r="CV30" s="246"/>
      <c r="CW30" s="246"/>
      <c r="CX30" s="247"/>
      <c r="CY30" s="245" t="s">
        <v>22</v>
      </c>
      <c r="CZ30" s="246"/>
      <c r="DA30" s="246"/>
      <c r="DB30" s="246"/>
      <c r="DC30" s="246"/>
      <c r="DD30" s="246"/>
      <c r="DE30" s="246"/>
      <c r="DF30" s="246"/>
      <c r="DG30" s="246"/>
      <c r="DH30" s="246"/>
      <c r="DI30" s="246"/>
      <c r="DJ30" s="246"/>
      <c r="DK30" s="246"/>
      <c r="DL30" s="246"/>
      <c r="DM30" s="246"/>
      <c r="DN30" s="246"/>
      <c r="DO30" s="246"/>
      <c r="DP30" s="246"/>
      <c r="DQ30" s="246"/>
      <c r="DR30" s="246"/>
      <c r="DS30" s="246"/>
      <c r="DT30" s="246"/>
      <c r="DU30" s="247"/>
      <c r="DW30" s="14"/>
    </row>
    <row r="31" spans="1:159" ht="22.5" x14ac:dyDescent="0.25">
      <c r="C31" s="239" t="str">
        <f>Service1!C6</f>
        <v>Омск</v>
      </c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1"/>
      <c r="T31" s="233">
        <v>16</v>
      </c>
      <c r="U31" s="234"/>
      <c r="V31" s="234"/>
      <c r="W31" s="234"/>
      <c r="X31" s="234"/>
      <c r="Y31" s="235"/>
      <c r="Z31" s="230" t="s">
        <v>86</v>
      </c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2"/>
      <c r="AW31" s="230" t="s">
        <v>4</v>
      </c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2"/>
      <c r="BT31" s="27" t="b">
        <f>OR(AND(Z31=Service1!$C$46,AW31=Service1!$C$56),AND(AW31&gt;"0",Z31&lt;&gt;Service1!$C$46))</f>
        <v>1</v>
      </c>
      <c r="BU31" s="28" t="b">
        <f>OR(AND(CB31=Service1!$C$46,CY31=Service1!$C$56),AND(CY31&gt;"0",CB31&lt;&gt;Service1!$C$46))</f>
        <v>1</v>
      </c>
      <c r="BV31" s="233">
        <v>1</v>
      </c>
      <c r="BW31" s="234"/>
      <c r="BX31" s="234"/>
      <c r="BY31" s="234"/>
      <c r="BZ31" s="234"/>
      <c r="CA31" s="235"/>
      <c r="CB31" s="230" t="s">
        <v>86</v>
      </c>
      <c r="CC31" s="231"/>
      <c r="CD31" s="231"/>
      <c r="CE31" s="231"/>
      <c r="CF31" s="231"/>
      <c r="CG31" s="231"/>
      <c r="CH31" s="231"/>
      <c r="CI31" s="231"/>
      <c r="CJ31" s="231"/>
      <c r="CK31" s="231"/>
      <c r="CL31" s="231"/>
      <c r="CM31" s="231"/>
      <c r="CN31" s="231"/>
      <c r="CO31" s="231"/>
      <c r="CP31" s="231"/>
      <c r="CQ31" s="231"/>
      <c r="CR31" s="231"/>
      <c r="CS31" s="231"/>
      <c r="CT31" s="231"/>
      <c r="CU31" s="231"/>
      <c r="CV31" s="231"/>
      <c r="CW31" s="231"/>
      <c r="CX31" s="232"/>
      <c r="CY31" s="230" t="s">
        <v>4</v>
      </c>
      <c r="CZ31" s="231"/>
      <c r="DA31" s="231"/>
      <c r="DB31" s="231"/>
      <c r="DC31" s="231"/>
      <c r="DD31" s="231"/>
      <c r="DE31" s="231"/>
      <c r="DF31" s="231"/>
      <c r="DG31" s="231"/>
      <c r="DH31" s="231"/>
      <c r="DI31" s="231"/>
      <c r="DJ31" s="231"/>
      <c r="DK31" s="231"/>
      <c r="DL31" s="231"/>
      <c r="DM31" s="231"/>
      <c r="DN31" s="231"/>
      <c r="DO31" s="231"/>
      <c r="DP31" s="231"/>
      <c r="DQ31" s="231"/>
      <c r="DR31" s="231"/>
      <c r="DS31" s="231"/>
      <c r="DT31" s="231"/>
      <c r="DU31" s="232"/>
      <c r="DW31" s="14"/>
    </row>
    <row r="32" spans="1:159" ht="22.5" x14ac:dyDescent="0.25">
      <c r="C32" s="239" t="str">
        <f>Service1!C9</f>
        <v>Усть-Ишим</v>
      </c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1"/>
      <c r="T32" s="233">
        <v>14</v>
      </c>
      <c r="U32" s="234"/>
      <c r="V32" s="234"/>
      <c r="W32" s="234"/>
      <c r="X32" s="234"/>
      <c r="Y32" s="235"/>
      <c r="Z32" s="230" t="s">
        <v>88</v>
      </c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2"/>
      <c r="AW32" s="230" t="s">
        <v>4</v>
      </c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2"/>
      <c r="BT32" s="27" t="b">
        <f>OR(AND(Z32=Service1!$C$46,AW32=Service1!$C$56),AND(AW32&gt;"0",Z32&lt;&gt;Service1!$C$46))</f>
        <v>1</v>
      </c>
      <c r="BU32" s="28" t="b">
        <f>OR(AND(CB32=Service1!$C$46,CY32=Service1!$C$56),AND(CY32&gt;"0",CB32&lt;&gt;Service1!$C$46))</f>
        <v>1</v>
      </c>
      <c r="BV32" s="233">
        <v>3</v>
      </c>
      <c r="BW32" s="234"/>
      <c r="BX32" s="234"/>
      <c r="BY32" s="234"/>
      <c r="BZ32" s="234"/>
      <c r="CA32" s="235"/>
      <c r="CB32" s="230" t="s">
        <v>88</v>
      </c>
      <c r="CC32" s="231"/>
      <c r="CD32" s="231"/>
      <c r="CE32" s="231"/>
      <c r="CF32" s="231"/>
      <c r="CG32" s="231"/>
      <c r="CH32" s="231"/>
      <c r="CI32" s="231"/>
      <c r="CJ32" s="231"/>
      <c r="CK32" s="231"/>
      <c r="CL32" s="231"/>
      <c r="CM32" s="231"/>
      <c r="CN32" s="231"/>
      <c r="CO32" s="231"/>
      <c r="CP32" s="231"/>
      <c r="CQ32" s="231"/>
      <c r="CR32" s="231"/>
      <c r="CS32" s="231"/>
      <c r="CT32" s="231"/>
      <c r="CU32" s="231"/>
      <c r="CV32" s="231"/>
      <c r="CW32" s="231"/>
      <c r="CX32" s="232"/>
      <c r="CY32" s="230" t="s">
        <v>4</v>
      </c>
      <c r="CZ32" s="231"/>
      <c r="DA32" s="231"/>
      <c r="DB32" s="231"/>
      <c r="DC32" s="231"/>
      <c r="DD32" s="231"/>
      <c r="DE32" s="231"/>
      <c r="DF32" s="231"/>
      <c r="DG32" s="231"/>
      <c r="DH32" s="231"/>
      <c r="DI32" s="231"/>
      <c r="DJ32" s="231"/>
      <c r="DK32" s="231"/>
      <c r="DL32" s="231"/>
      <c r="DM32" s="231"/>
      <c r="DN32" s="231"/>
      <c r="DO32" s="231"/>
      <c r="DP32" s="231"/>
      <c r="DQ32" s="231"/>
      <c r="DR32" s="231"/>
      <c r="DS32" s="231"/>
      <c r="DT32" s="231"/>
      <c r="DU32" s="232"/>
      <c r="DW32" s="14"/>
    </row>
    <row r="33" spans="3:127" ht="24.95" customHeight="1" x14ac:dyDescent="0.25">
      <c r="C33" s="239" t="str">
        <f>Service1!C10</f>
        <v>Тара</v>
      </c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40"/>
      <c r="S33" s="241"/>
      <c r="T33" s="233">
        <v>15</v>
      </c>
      <c r="U33" s="234"/>
      <c r="V33" s="234"/>
      <c r="W33" s="234"/>
      <c r="X33" s="234"/>
      <c r="Y33" s="235"/>
      <c r="Z33" s="230" t="s">
        <v>88</v>
      </c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2"/>
      <c r="AW33" s="230" t="s">
        <v>4</v>
      </c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2"/>
      <c r="BT33" s="27" t="b">
        <f>OR(AND(Z33=Service1!$C$46,AW33=Service1!$C$56),AND(AW33&gt;"0",Z33&lt;&gt;Service1!$C$46))</f>
        <v>1</v>
      </c>
      <c r="BU33" s="28" t="b">
        <f>OR(AND(CB33=Service1!$C$46,CY33=Service1!$C$56),AND(CY33&gt;"0",CB33&lt;&gt;Service1!$C$46))</f>
        <v>1</v>
      </c>
      <c r="BV33" s="233">
        <v>2</v>
      </c>
      <c r="BW33" s="234"/>
      <c r="BX33" s="234"/>
      <c r="BY33" s="234"/>
      <c r="BZ33" s="234"/>
      <c r="CA33" s="235"/>
      <c r="CB33" s="230" t="s">
        <v>88</v>
      </c>
      <c r="CC33" s="231"/>
      <c r="CD33" s="231"/>
      <c r="CE33" s="231"/>
      <c r="CF33" s="231"/>
      <c r="CG33" s="231"/>
      <c r="CH33" s="231"/>
      <c r="CI33" s="231"/>
      <c r="CJ33" s="231"/>
      <c r="CK33" s="231"/>
      <c r="CL33" s="231"/>
      <c r="CM33" s="231"/>
      <c r="CN33" s="231"/>
      <c r="CO33" s="231"/>
      <c r="CP33" s="231"/>
      <c r="CQ33" s="231"/>
      <c r="CR33" s="231"/>
      <c r="CS33" s="231"/>
      <c r="CT33" s="231"/>
      <c r="CU33" s="231"/>
      <c r="CV33" s="231"/>
      <c r="CW33" s="231"/>
      <c r="CX33" s="232"/>
      <c r="CY33" s="230" t="s">
        <v>4</v>
      </c>
      <c r="CZ33" s="231"/>
      <c r="DA33" s="231"/>
      <c r="DB33" s="231"/>
      <c r="DC33" s="231"/>
      <c r="DD33" s="231"/>
      <c r="DE33" s="231"/>
      <c r="DF33" s="231"/>
      <c r="DG33" s="231"/>
      <c r="DH33" s="231"/>
      <c r="DI33" s="231"/>
      <c r="DJ33" s="231"/>
      <c r="DK33" s="231"/>
      <c r="DL33" s="231"/>
      <c r="DM33" s="231"/>
      <c r="DN33" s="231"/>
      <c r="DO33" s="231"/>
      <c r="DP33" s="231"/>
      <c r="DQ33" s="231"/>
      <c r="DR33" s="231"/>
      <c r="DS33" s="231"/>
      <c r="DT33" s="231"/>
      <c r="DU33" s="232"/>
      <c r="DW33" s="14"/>
    </row>
    <row r="34" spans="3:127" ht="24.95" customHeight="1" x14ac:dyDescent="0.25">
      <c r="C34" s="239" t="str">
        <f>Service1!C11</f>
        <v>Тюкалинск</v>
      </c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40"/>
      <c r="S34" s="241"/>
      <c r="T34" s="233">
        <v>16</v>
      </c>
      <c r="U34" s="234"/>
      <c r="V34" s="234"/>
      <c r="W34" s="234"/>
      <c r="X34" s="234"/>
      <c r="Y34" s="235"/>
      <c r="Z34" s="230" t="s">
        <v>86</v>
      </c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2"/>
      <c r="AW34" s="230" t="s">
        <v>4</v>
      </c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2"/>
      <c r="BT34" s="27" t="b">
        <f>OR(AND(Z34=Service1!$C$46,AW34=Service1!$C$56),AND(AW34&gt;"0",Z34&lt;&gt;Service1!$C$46))</f>
        <v>1</v>
      </c>
      <c r="BU34" s="28" t="b">
        <f>OR(AND(CB34=Service1!$C$46,CY34=Service1!$C$56),AND(CY34&gt;"0",CB34&lt;&gt;Service1!$C$46))</f>
        <v>1</v>
      </c>
      <c r="BV34" s="233">
        <v>2</v>
      </c>
      <c r="BW34" s="234"/>
      <c r="BX34" s="234"/>
      <c r="BY34" s="234"/>
      <c r="BZ34" s="234"/>
      <c r="CA34" s="235"/>
      <c r="CB34" s="230" t="s">
        <v>86</v>
      </c>
      <c r="CC34" s="231"/>
      <c r="CD34" s="231"/>
      <c r="CE34" s="231"/>
      <c r="CF34" s="231"/>
      <c r="CG34" s="231"/>
      <c r="CH34" s="231"/>
      <c r="CI34" s="231"/>
      <c r="CJ34" s="231"/>
      <c r="CK34" s="231"/>
      <c r="CL34" s="231"/>
      <c r="CM34" s="231"/>
      <c r="CN34" s="231"/>
      <c r="CO34" s="231"/>
      <c r="CP34" s="231"/>
      <c r="CQ34" s="231"/>
      <c r="CR34" s="231"/>
      <c r="CS34" s="231"/>
      <c r="CT34" s="231"/>
      <c r="CU34" s="231"/>
      <c r="CV34" s="231"/>
      <c r="CW34" s="231"/>
      <c r="CX34" s="232"/>
      <c r="CY34" s="230" t="s">
        <v>4</v>
      </c>
      <c r="CZ34" s="231"/>
      <c r="DA34" s="231"/>
      <c r="DB34" s="231"/>
      <c r="DC34" s="231"/>
      <c r="DD34" s="231"/>
      <c r="DE34" s="231"/>
      <c r="DF34" s="231"/>
      <c r="DG34" s="231"/>
      <c r="DH34" s="231"/>
      <c r="DI34" s="231"/>
      <c r="DJ34" s="231"/>
      <c r="DK34" s="231"/>
      <c r="DL34" s="231"/>
      <c r="DM34" s="231"/>
      <c r="DN34" s="231"/>
      <c r="DO34" s="231"/>
      <c r="DP34" s="231"/>
      <c r="DQ34" s="231"/>
      <c r="DR34" s="231"/>
      <c r="DS34" s="231"/>
      <c r="DT34" s="231"/>
      <c r="DU34" s="232"/>
      <c r="DW34" s="14"/>
    </row>
    <row r="35" spans="3:127" ht="24.95" customHeight="1" x14ac:dyDescent="0.25">
      <c r="C35" s="239" t="str">
        <f>Service1!C12</f>
        <v>Большеречье</v>
      </c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240"/>
      <c r="Q35" s="240"/>
      <c r="R35" s="240"/>
      <c r="S35" s="241"/>
      <c r="T35" s="233">
        <v>16</v>
      </c>
      <c r="U35" s="234"/>
      <c r="V35" s="234"/>
      <c r="W35" s="234"/>
      <c r="X35" s="234"/>
      <c r="Y35" s="235"/>
      <c r="Z35" s="230" t="s">
        <v>88</v>
      </c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2"/>
      <c r="AW35" s="230" t="s">
        <v>4</v>
      </c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2"/>
      <c r="BT35" s="27" t="b">
        <f>OR(AND(Z35=Service1!$C$46,AW35=Service1!$C$56),AND(AW35&gt;"0",Z35&lt;&gt;Service1!$C$46))</f>
        <v>1</v>
      </c>
      <c r="BU35" s="28" t="b">
        <f>OR(AND(CB35=Service1!$C$46,CY35=Service1!$C$56),AND(CY35&gt;"0",CB35&lt;&gt;Service1!$C$46))</f>
        <v>1</v>
      </c>
      <c r="BV35" s="233">
        <v>2</v>
      </c>
      <c r="BW35" s="234"/>
      <c r="BX35" s="234"/>
      <c r="BY35" s="234"/>
      <c r="BZ35" s="234"/>
      <c r="CA35" s="235"/>
      <c r="CB35" s="230" t="s">
        <v>88</v>
      </c>
      <c r="CC35" s="231"/>
      <c r="CD35" s="231"/>
      <c r="CE35" s="231"/>
      <c r="CF35" s="231"/>
      <c r="CG35" s="231"/>
      <c r="CH35" s="231"/>
      <c r="CI35" s="231"/>
      <c r="CJ35" s="231"/>
      <c r="CK35" s="231"/>
      <c r="CL35" s="231"/>
      <c r="CM35" s="231"/>
      <c r="CN35" s="231"/>
      <c r="CO35" s="231"/>
      <c r="CP35" s="231"/>
      <c r="CQ35" s="231"/>
      <c r="CR35" s="231"/>
      <c r="CS35" s="231"/>
      <c r="CT35" s="231"/>
      <c r="CU35" s="231"/>
      <c r="CV35" s="231"/>
      <c r="CW35" s="231"/>
      <c r="CX35" s="232"/>
      <c r="CY35" s="230" t="s">
        <v>4</v>
      </c>
      <c r="CZ35" s="231"/>
      <c r="DA35" s="231"/>
      <c r="DB35" s="231"/>
      <c r="DC35" s="231"/>
      <c r="DD35" s="231"/>
      <c r="DE35" s="231"/>
      <c r="DF35" s="231"/>
      <c r="DG35" s="231"/>
      <c r="DH35" s="231"/>
      <c r="DI35" s="231"/>
      <c r="DJ35" s="231"/>
      <c r="DK35" s="231"/>
      <c r="DL35" s="231"/>
      <c r="DM35" s="231"/>
      <c r="DN35" s="231"/>
      <c r="DO35" s="231"/>
      <c r="DP35" s="231"/>
      <c r="DQ35" s="231"/>
      <c r="DR35" s="231"/>
      <c r="DS35" s="231"/>
      <c r="DT35" s="231"/>
      <c r="DU35" s="232"/>
      <c r="DW35" s="14"/>
    </row>
    <row r="36" spans="3:127" ht="24.95" customHeight="1" x14ac:dyDescent="0.25">
      <c r="C36" s="239" t="str">
        <f>Service1!C13</f>
        <v>Называевск</v>
      </c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40"/>
      <c r="S36" s="241"/>
      <c r="T36" s="233">
        <v>16</v>
      </c>
      <c r="U36" s="234"/>
      <c r="V36" s="234"/>
      <c r="W36" s="234"/>
      <c r="X36" s="234"/>
      <c r="Y36" s="235"/>
      <c r="Z36" s="230" t="s">
        <v>86</v>
      </c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2"/>
      <c r="AW36" s="230" t="s">
        <v>4</v>
      </c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2"/>
      <c r="BT36" s="27" t="b">
        <f>OR(AND(Z36=Service1!$C$46,AW36=Service1!$C$56),AND(AW36&gt;"0",Z36&lt;&gt;Service1!$C$46))</f>
        <v>1</v>
      </c>
      <c r="BU36" s="28" t="b">
        <f>OR(AND(CB36=Service1!$C$46,CY36=Service1!$C$56),AND(CY36&gt;"0",CB36&lt;&gt;Service1!$C$46))</f>
        <v>1</v>
      </c>
      <c r="BV36" s="233">
        <v>1</v>
      </c>
      <c r="BW36" s="234"/>
      <c r="BX36" s="234"/>
      <c r="BY36" s="234"/>
      <c r="BZ36" s="234"/>
      <c r="CA36" s="235"/>
      <c r="CB36" s="230" t="s">
        <v>86</v>
      </c>
      <c r="CC36" s="231"/>
      <c r="CD36" s="231"/>
      <c r="CE36" s="231"/>
      <c r="CF36" s="231"/>
      <c r="CG36" s="231"/>
      <c r="CH36" s="231"/>
      <c r="CI36" s="231"/>
      <c r="CJ36" s="231"/>
      <c r="CK36" s="231"/>
      <c r="CL36" s="231"/>
      <c r="CM36" s="231"/>
      <c r="CN36" s="231"/>
      <c r="CO36" s="231"/>
      <c r="CP36" s="231"/>
      <c r="CQ36" s="231"/>
      <c r="CR36" s="231"/>
      <c r="CS36" s="231"/>
      <c r="CT36" s="231"/>
      <c r="CU36" s="231"/>
      <c r="CV36" s="231"/>
      <c r="CW36" s="231"/>
      <c r="CX36" s="232"/>
      <c r="CY36" s="230" t="s">
        <v>4</v>
      </c>
      <c r="CZ36" s="231"/>
      <c r="DA36" s="231"/>
      <c r="DB36" s="231"/>
      <c r="DC36" s="231"/>
      <c r="DD36" s="231"/>
      <c r="DE36" s="231"/>
      <c r="DF36" s="231"/>
      <c r="DG36" s="231"/>
      <c r="DH36" s="231"/>
      <c r="DI36" s="231"/>
      <c r="DJ36" s="231"/>
      <c r="DK36" s="231"/>
      <c r="DL36" s="231"/>
      <c r="DM36" s="231"/>
      <c r="DN36" s="231"/>
      <c r="DO36" s="231"/>
      <c r="DP36" s="231"/>
      <c r="DQ36" s="231"/>
      <c r="DR36" s="231"/>
      <c r="DS36" s="231"/>
      <c r="DT36" s="231"/>
      <c r="DU36" s="232"/>
      <c r="DW36" s="14"/>
    </row>
    <row r="37" spans="3:127" ht="24.95" customHeight="1" x14ac:dyDescent="0.25">
      <c r="C37" s="239" t="str">
        <f>Service1!C14</f>
        <v>Тевриз</v>
      </c>
      <c r="D37" s="240"/>
      <c r="E37" s="240"/>
      <c r="F37" s="240"/>
      <c r="G37" s="240"/>
      <c r="H37" s="240"/>
      <c r="I37" s="240"/>
      <c r="J37" s="240"/>
      <c r="K37" s="240"/>
      <c r="L37" s="240"/>
      <c r="M37" s="240"/>
      <c r="N37" s="240"/>
      <c r="O37" s="240"/>
      <c r="P37" s="240"/>
      <c r="Q37" s="240"/>
      <c r="R37" s="240"/>
      <c r="S37" s="241"/>
      <c r="T37" s="233">
        <v>14</v>
      </c>
      <c r="U37" s="234"/>
      <c r="V37" s="234"/>
      <c r="W37" s="234"/>
      <c r="X37" s="234"/>
      <c r="Y37" s="235"/>
      <c r="Z37" s="230" t="s">
        <v>88</v>
      </c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2"/>
      <c r="AW37" s="230" t="s">
        <v>4</v>
      </c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2"/>
      <c r="BT37" s="27" t="b">
        <f>OR(AND(Z37=Service1!$C$46,AW37=Service1!$C$56),AND(AW37&gt;"0",Z37&lt;&gt;Service1!$C$46))</f>
        <v>1</v>
      </c>
      <c r="BU37" s="28" t="b">
        <f>OR(AND(CB37=Service1!$C$46,CY37=Service1!$C$56),AND(CY37&gt;"0",CB37&lt;&gt;Service1!$C$46))</f>
        <v>1</v>
      </c>
      <c r="BV37" s="233">
        <v>2</v>
      </c>
      <c r="BW37" s="234"/>
      <c r="BX37" s="234"/>
      <c r="BY37" s="234"/>
      <c r="BZ37" s="234"/>
      <c r="CA37" s="235"/>
      <c r="CB37" s="230" t="s">
        <v>88</v>
      </c>
      <c r="CC37" s="231"/>
      <c r="CD37" s="231"/>
      <c r="CE37" s="231"/>
      <c r="CF37" s="231"/>
      <c r="CG37" s="231"/>
      <c r="CH37" s="231"/>
      <c r="CI37" s="231"/>
      <c r="CJ37" s="231"/>
      <c r="CK37" s="231"/>
      <c r="CL37" s="231"/>
      <c r="CM37" s="231"/>
      <c r="CN37" s="231"/>
      <c r="CO37" s="231"/>
      <c r="CP37" s="231"/>
      <c r="CQ37" s="231"/>
      <c r="CR37" s="231"/>
      <c r="CS37" s="231"/>
      <c r="CT37" s="231"/>
      <c r="CU37" s="231"/>
      <c r="CV37" s="231"/>
      <c r="CW37" s="231"/>
      <c r="CX37" s="232"/>
      <c r="CY37" s="230" t="s">
        <v>4</v>
      </c>
      <c r="CZ37" s="231"/>
      <c r="DA37" s="231"/>
      <c r="DB37" s="231"/>
      <c r="DC37" s="231"/>
      <c r="DD37" s="231"/>
      <c r="DE37" s="231"/>
      <c r="DF37" s="231"/>
      <c r="DG37" s="231"/>
      <c r="DH37" s="231"/>
      <c r="DI37" s="231"/>
      <c r="DJ37" s="231"/>
      <c r="DK37" s="231"/>
      <c r="DL37" s="231"/>
      <c r="DM37" s="231"/>
      <c r="DN37" s="231"/>
      <c r="DO37" s="231"/>
      <c r="DP37" s="231"/>
      <c r="DQ37" s="231"/>
      <c r="DR37" s="231"/>
      <c r="DS37" s="231"/>
      <c r="DT37" s="231"/>
      <c r="DU37" s="232"/>
      <c r="DW37" s="14"/>
    </row>
    <row r="38" spans="3:127" ht="24.95" customHeight="1" x14ac:dyDescent="0.25">
      <c r="C38" s="239" t="str">
        <f>Service1!C15</f>
        <v>Саргатское</v>
      </c>
      <c r="D38" s="240"/>
      <c r="E38" s="240"/>
      <c r="F38" s="240"/>
      <c r="G38" s="240"/>
      <c r="H38" s="240"/>
      <c r="I38" s="240"/>
      <c r="J38" s="240"/>
      <c r="K38" s="240"/>
      <c r="L38" s="240"/>
      <c r="M38" s="240"/>
      <c r="N38" s="240"/>
      <c r="O38" s="240"/>
      <c r="P38" s="240"/>
      <c r="Q38" s="240"/>
      <c r="R38" s="240"/>
      <c r="S38" s="241"/>
      <c r="T38" s="233">
        <v>16</v>
      </c>
      <c r="U38" s="234"/>
      <c r="V38" s="234"/>
      <c r="W38" s="234"/>
      <c r="X38" s="234"/>
      <c r="Y38" s="235"/>
      <c r="Z38" s="230" t="s">
        <v>88</v>
      </c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2"/>
      <c r="AW38" s="230" t="s">
        <v>4</v>
      </c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2"/>
      <c r="BT38" s="27" t="b">
        <f>OR(AND(Z38=Service1!$C$46,AW38=Service1!$C$56),AND(AW38&gt;"0",Z38&lt;&gt;Service1!$C$46))</f>
        <v>1</v>
      </c>
      <c r="BU38" s="28" t="b">
        <f>OR(AND(CB38=Service1!$C$46,CY38=Service1!$C$56),AND(CY38&gt;"0",CB38&lt;&gt;Service1!$C$46))</f>
        <v>1</v>
      </c>
      <c r="BV38" s="233">
        <v>1</v>
      </c>
      <c r="BW38" s="234"/>
      <c r="BX38" s="234"/>
      <c r="BY38" s="234"/>
      <c r="BZ38" s="234"/>
      <c r="CA38" s="235"/>
      <c r="CB38" s="230" t="s">
        <v>88</v>
      </c>
      <c r="CC38" s="231"/>
      <c r="CD38" s="231"/>
      <c r="CE38" s="231"/>
      <c r="CF38" s="231"/>
      <c r="CG38" s="231"/>
      <c r="CH38" s="231"/>
      <c r="CI38" s="231"/>
      <c r="CJ38" s="231"/>
      <c r="CK38" s="231"/>
      <c r="CL38" s="231"/>
      <c r="CM38" s="231"/>
      <c r="CN38" s="231"/>
      <c r="CO38" s="231"/>
      <c r="CP38" s="231"/>
      <c r="CQ38" s="231"/>
      <c r="CR38" s="231"/>
      <c r="CS38" s="231"/>
      <c r="CT38" s="231"/>
      <c r="CU38" s="231"/>
      <c r="CV38" s="231"/>
      <c r="CW38" s="231"/>
      <c r="CX38" s="232"/>
      <c r="CY38" s="230" t="s">
        <v>4</v>
      </c>
      <c r="CZ38" s="231"/>
      <c r="DA38" s="231"/>
      <c r="DB38" s="231"/>
      <c r="DC38" s="231"/>
      <c r="DD38" s="231"/>
      <c r="DE38" s="231"/>
      <c r="DF38" s="231"/>
      <c r="DG38" s="231"/>
      <c r="DH38" s="231"/>
      <c r="DI38" s="231"/>
      <c r="DJ38" s="231"/>
      <c r="DK38" s="231"/>
      <c r="DL38" s="231"/>
      <c r="DM38" s="231"/>
      <c r="DN38" s="231"/>
      <c r="DO38" s="231"/>
      <c r="DP38" s="231"/>
      <c r="DQ38" s="231"/>
      <c r="DR38" s="231"/>
      <c r="DS38" s="231"/>
      <c r="DT38" s="231"/>
      <c r="DU38" s="232"/>
      <c r="DW38" s="14"/>
    </row>
    <row r="39" spans="3:127" ht="24.95" customHeight="1" x14ac:dyDescent="0.25">
      <c r="C39" s="239" t="str">
        <f>Service1!D9</f>
        <v>Исилькуль</v>
      </c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240"/>
      <c r="O39" s="240"/>
      <c r="P39" s="240"/>
      <c r="Q39" s="240"/>
      <c r="R39" s="240"/>
      <c r="S39" s="241"/>
      <c r="T39" s="233">
        <v>17</v>
      </c>
      <c r="U39" s="234"/>
      <c r="V39" s="234"/>
      <c r="W39" s="234"/>
      <c r="X39" s="234"/>
      <c r="Y39" s="235"/>
      <c r="Z39" s="230" t="s">
        <v>86</v>
      </c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2"/>
      <c r="AW39" s="230" t="s">
        <v>4</v>
      </c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2"/>
      <c r="BT39" s="27" t="b">
        <f>OR(AND(Z39=Service1!$C$46,AW39=Service1!$C$56),AND(AW39&gt;"0",Z39&lt;&gt;Service1!$C$46))</f>
        <v>1</v>
      </c>
      <c r="BU39" s="28" t="b">
        <f>OR(AND(CB39=Service1!$C$46,CY39=Service1!$C$56),AND(CY39&gt;"0",CB39&lt;&gt;Service1!$C$46))</f>
        <v>1</v>
      </c>
      <c r="BV39" s="233">
        <v>0</v>
      </c>
      <c r="BW39" s="234"/>
      <c r="BX39" s="234"/>
      <c r="BY39" s="234"/>
      <c r="BZ39" s="234"/>
      <c r="CA39" s="235"/>
      <c r="CB39" s="230" t="s">
        <v>86</v>
      </c>
      <c r="CC39" s="231"/>
      <c r="CD39" s="231"/>
      <c r="CE39" s="231"/>
      <c r="CF39" s="231"/>
      <c r="CG39" s="231"/>
      <c r="CH39" s="231"/>
      <c r="CI39" s="231"/>
      <c r="CJ39" s="231"/>
      <c r="CK39" s="231"/>
      <c r="CL39" s="231"/>
      <c r="CM39" s="231"/>
      <c r="CN39" s="231"/>
      <c r="CO39" s="231"/>
      <c r="CP39" s="231"/>
      <c r="CQ39" s="231"/>
      <c r="CR39" s="231"/>
      <c r="CS39" s="231"/>
      <c r="CT39" s="231"/>
      <c r="CU39" s="231"/>
      <c r="CV39" s="231"/>
      <c r="CW39" s="231"/>
      <c r="CX39" s="232"/>
      <c r="CY39" s="230" t="s">
        <v>4</v>
      </c>
      <c r="CZ39" s="231"/>
      <c r="DA39" s="231"/>
      <c r="DB39" s="231"/>
      <c r="DC39" s="231"/>
      <c r="DD39" s="231"/>
      <c r="DE39" s="231"/>
      <c r="DF39" s="231"/>
      <c r="DG39" s="231"/>
      <c r="DH39" s="231"/>
      <c r="DI39" s="231"/>
      <c r="DJ39" s="231"/>
      <c r="DK39" s="231"/>
      <c r="DL39" s="231"/>
      <c r="DM39" s="231"/>
      <c r="DN39" s="231"/>
      <c r="DO39" s="231"/>
      <c r="DP39" s="231"/>
      <c r="DQ39" s="231"/>
      <c r="DR39" s="231"/>
      <c r="DS39" s="231"/>
      <c r="DT39" s="231"/>
      <c r="DU39" s="232"/>
      <c r="DW39" s="14"/>
    </row>
    <row r="40" spans="3:127" ht="24.95" customHeight="1" x14ac:dyDescent="0.25">
      <c r="C40" s="239" t="str">
        <f>Service1!D10</f>
        <v>Калачинск</v>
      </c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  <c r="R40" s="240"/>
      <c r="S40" s="241"/>
      <c r="T40" s="233">
        <v>16</v>
      </c>
      <c r="U40" s="234"/>
      <c r="V40" s="234"/>
      <c r="W40" s="234"/>
      <c r="X40" s="234"/>
      <c r="Y40" s="235"/>
      <c r="Z40" s="230" t="s">
        <v>86</v>
      </c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2"/>
      <c r="AW40" s="230" t="s">
        <v>4</v>
      </c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2"/>
      <c r="BT40" s="27" t="b">
        <f>OR(AND(Z40=Service1!$C$46,AW40=Service1!$C$56),AND(AW40&gt;"0",Z40&lt;&gt;Service1!$C$46))</f>
        <v>1</v>
      </c>
      <c r="BU40" s="28" t="b">
        <f>OR(AND(CB40=Service1!$C$46,CY40=Service1!$C$56),AND(CY40&gt;"0",CB40&lt;&gt;Service1!$C$46))</f>
        <v>1</v>
      </c>
      <c r="BV40" s="233">
        <v>1</v>
      </c>
      <c r="BW40" s="234"/>
      <c r="BX40" s="234"/>
      <c r="BY40" s="234"/>
      <c r="BZ40" s="234"/>
      <c r="CA40" s="235"/>
      <c r="CB40" s="230" t="s">
        <v>86</v>
      </c>
      <c r="CC40" s="231"/>
      <c r="CD40" s="231"/>
      <c r="CE40" s="231"/>
      <c r="CF40" s="231"/>
      <c r="CG40" s="231"/>
      <c r="CH40" s="231"/>
      <c r="CI40" s="231"/>
      <c r="CJ40" s="231"/>
      <c r="CK40" s="231"/>
      <c r="CL40" s="231"/>
      <c r="CM40" s="231"/>
      <c r="CN40" s="231"/>
      <c r="CO40" s="231"/>
      <c r="CP40" s="231"/>
      <c r="CQ40" s="231"/>
      <c r="CR40" s="231"/>
      <c r="CS40" s="231"/>
      <c r="CT40" s="231"/>
      <c r="CU40" s="231"/>
      <c r="CV40" s="231"/>
      <c r="CW40" s="231"/>
      <c r="CX40" s="232"/>
      <c r="CY40" s="230" t="s">
        <v>4</v>
      </c>
      <c r="CZ40" s="231"/>
      <c r="DA40" s="231"/>
      <c r="DB40" s="231"/>
      <c r="DC40" s="231"/>
      <c r="DD40" s="231"/>
      <c r="DE40" s="231"/>
      <c r="DF40" s="231"/>
      <c r="DG40" s="231"/>
      <c r="DH40" s="231"/>
      <c r="DI40" s="231"/>
      <c r="DJ40" s="231"/>
      <c r="DK40" s="231"/>
      <c r="DL40" s="231"/>
      <c r="DM40" s="231"/>
      <c r="DN40" s="231"/>
      <c r="DO40" s="231"/>
      <c r="DP40" s="231"/>
      <c r="DQ40" s="231"/>
      <c r="DR40" s="231"/>
      <c r="DS40" s="231"/>
      <c r="DT40" s="231"/>
      <c r="DU40" s="232"/>
      <c r="DW40" s="14"/>
    </row>
    <row r="41" spans="3:127" ht="24.95" customHeight="1" x14ac:dyDescent="0.25">
      <c r="C41" s="239" t="str">
        <f>Service1!D11</f>
        <v>Полтавка</v>
      </c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240"/>
      <c r="O41" s="240"/>
      <c r="P41" s="240"/>
      <c r="Q41" s="240"/>
      <c r="R41" s="240"/>
      <c r="S41" s="241"/>
      <c r="T41" s="233">
        <v>18</v>
      </c>
      <c r="U41" s="234"/>
      <c r="V41" s="234"/>
      <c r="W41" s="234"/>
      <c r="X41" s="234"/>
      <c r="Y41" s="235"/>
      <c r="Z41" s="230" t="s">
        <v>86</v>
      </c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2"/>
      <c r="AW41" s="230" t="s">
        <v>4</v>
      </c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2"/>
      <c r="BT41" s="27" t="b">
        <f>OR(AND(Z41=Service1!$C$46,AW41=Service1!$C$56),AND(AW41&gt;"0",Z41&lt;&gt;Service1!$C$46))</f>
        <v>1</v>
      </c>
      <c r="BU41" s="28" t="b">
        <f>OR(AND(CB41=Service1!$C$46,CY41=Service1!$C$56),AND(CY41&gt;"0",CB41&lt;&gt;Service1!$C$46))</f>
        <v>1</v>
      </c>
      <c r="BV41" s="233">
        <v>0</v>
      </c>
      <c r="BW41" s="234"/>
      <c r="BX41" s="234"/>
      <c r="BY41" s="234"/>
      <c r="BZ41" s="234"/>
      <c r="CA41" s="235"/>
      <c r="CB41" s="230" t="s">
        <v>86</v>
      </c>
      <c r="CC41" s="231"/>
      <c r="CD41" s="231"/>
      <c r="CE41" s="231"/>
      <c r="CF41" s="231"/>
      <c r="CG41" s="231"/>
      <c r="CH41" s="231"/>
      <c r="CI41" s="231"/>
      <c r="CJ41" s="231"/>
      <c r="CK41" s="231"/>
      <c r="CL41" s="231"/>
      <c r="CM41" s="231"/>
      <c r="CN41" s="231"/>
      <c r="CO41" s="231"/>
      <c r="CP41" s="231"/>
      <c r="CQ41" s="231"/>
      <c r="CR41" s="231"/>
      <c r="CS41" s="231"/>
      <c r="CT41" s="231"/>
      <c r="CU41" s="231"/>
      <c r="CV41" s="231"/>
      <c r="CW41" s="231"/>
      <c r="CX41" s="232"/>
      <c r="CY41" s="230" t="s">
        <v>4</v>
      </c>
      <c r="CZ41" s="231"/>
      <c r="DA41" s="231"/>
      <c r="DB41" s="231"/>
      <c r="DC41" s="231"/>
      <c r="DD41" s="231"/>
      <c r="DE41" s="231"/>
      <c r="DF41" s="231"/>
      <c r="DG41" s="231"/>
      <c r="DH41" s="231"/>
      <c r="DI41" s="231"/>
      <c r="DJ41" s="231"/>
      <c r="DK41" s="231"/>
      <c r="DL41" s="231"/>
      <c r="DM41" s="231"/>
      <c r="DN41" s="231"/>
      <c r="DO41" s="231"/>
      <c r="DP41" s="231"/>
      <c r="DQ41" s="231"/>
      <c r="DR41" s="231"/>
      <c r="DS41" s="231"/>
      <c r="DT41" s="231"/>
      <c r="DU41" s="232"/>
      <c r="DW41" s="14"/>
    </row>
    <row r="42" spans="3:127" ht="24.95" customHeight="1" x14ac:dyDescent="0.25">
      <c r="C42" s="239" t="str">
        <f>Service1!D12</f>
        <v>Русская Поляна</v>
      </c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240"/>
      <c r="O42" s="240"/>
      <c r="P42" s="240"/>
      <c r="Q42" s="240"/>
      <c r="R42" s="240"/>
      <c r="S42" s="241"/>
      <c r="T42" s="233">
        <v>17</v>
      </c>
      <c r="U42" s="234"/>
      <c r="V42" s="234"/>
      <c r="W42" s="234"/>
      <c r="X42" s="234"/>
      <c r="Y42" s="235"/>
      <c r="Z42" s="230" t="s">
        <v>86</v>
      </c>
      <c r="AA42" s="231"/>
      <c r="AB42" s="231"/>
      <c r="AC42" s="231"/>
      <c r="AD42" s="231"/>
      <c r="AE42" s="231"/>
      <c r="AF42" s="231"/>
      <c r="AG42" s="231"/>
      <c r="AH42" s="231"/>
      <c r="AI42" s="231"/>
      <c r="AJ42" s="231"/>
      <c r="AK42" s="231"/>
      <c r="AL42" s="231"/>
      <c r="AM42" s="231"/>
      <c r="AN42" s="231"/>
      <c r="AO42" s="231"/>
      <c r="AP42" s="231"/>
      <c r="AQ42" s="231"/>
      <c r="AR42" s="231"/>
      <c r="AS42" s="231"/>
      <c r="AT42" s="231"/>
      <c r="AU42" s="231"/>
      <c r="AV42" s="232"/>
      <c r="AW42" s="230" t="s">
        <v>4</v>
      </c>
      <c r="AX42" s="231"/>
      <c r="AY42" s="231"/>
      <c r="AZ42" s="231"/>
      <c r="BA42" s="231"/>
      <c r="BB42" s="231"/>
      <c r="BC42" s="231"/>
      <c r="BD42" s="231"/>
      <c r="BE42" s="231"/>
      <c r="BF42" s="231"/>
      <c r="BG42" s="231"/>
      <c r="BH42" s="231"/>
      <c r="BI42" s="231"/>
      <c r="BJ42" s="231"/>
      <c r="BK42" s="231"/>
      <c r="BL42" s="231"/>
      <c r="BM42" s="231"/>
      <c r="BN42" s="231"/>
      <c r="BO42" s="231"/>
      <c r="BP42" s="231"/>
      <c r="BQ42" s="231"/>
      <c r="BR42" s="231"/>
      <c r="BS42" s="232"/>
      <c r="BT42" s="27" t="b">
        <f>OR(AND(Z42=Service1!$C$46,AW42=Service1!$C$56),AND(AW42&gt;"0",Z42&lt;&gt;Service1!$C$46))</f>
        <v>1</v>
      </c>
      <c r="BU42" s="28" t="b">
        <f>OR(AND(CB42=Service1!$C$46,CY42=Service1!$C$56),AND(CY42&gt;"0",CB42&lt;&gt;Service1!$C$46))</f>
        <v>1</v>
      </c>
      <c r="BV42" s="233">
        <v>2</v>
      </c>
      <c r="BW42" s="234"/>
      <c r="BX42" s="234"/>
      <c r="BY42" s="234"/>
      <c r="BZ42" s="234"/>
      <c r="CA42" s="235"/>
      <c r="CB42" s="230" t="s">
        <v>86</v>
      </c>
      <c r="CC42" s="231"/>
      <c r="CD42" s="231"/>
      <c r="CE42" s="231"/>
      <c r="CF42" s="231"/>
      <c r="CG42" s="231"/>
      <c r="CH42" s="231"/>
      <c r="CI42" s="231"/>
      <c r="CJ42" s="231"/>
      <c r="CK42" s="231"/>
      <c r="CL42" s="231"/>
      <c r="CM42" s="231"/>
      <c r="CN42" s="231"/>
      <c r="CO42" s="231"/>
      <c r="CP42" s="231"/>
      <c r="CQ42" s="231"/>
      <c r="CR42" s="231"/>
      <c r="CS42" s="231"/>
      <c r="CT42" s="231"/>
      <c r="CU42" s="231"/>
      <c r="CV42" s="231"/>
      <c r="CW42" s="231"/>
      <c r="CX42" s="232"/>
      <c r="CY42" s="230" t="s">
        <v>4</v>
      </c>
      <c r="CZ42" s="231"/>
      <c r="DA42" s="231"/>
      <c r="DB42" s="231"/>
      <c r="DC42" s="231"/>
      <c r="DD42" s="231"/>
      <c r="DE42" s="231"/>
      <c r="DF42" s="231"/>
      <c r="DG42" s="231"/>
      <c r="DH42" s="231"/>
      <c r="DI42" s="231"/>
      <c r="DJ42" s="231"/>
      <c r="DK42" s="231"/>
      <c r="DL42" s="231"/>
      <c r="DM42" s="231"/>
      <c r="DN42" s="231"/>
      <c r="DO42" s="231"/>
      <c r="DP42" s="231"/>
      <c r="DQ42" s="231"/>
      <c r="DR42" s="231"/>
      <c r="DS42" s="231"/>
      <c r="DT42" s="231"/>
      <c r="DU42" s="232"/>
      <c r="DW42" s="14"/>
    </row>
    <row r="43" spans="3:127" ht="24.95" customHeight="1" x14ac:dyDescent="0.25">
      <c r="C43" s="239" t="str">
        <f>Service1!D13</f>
        <v>Черлак</v>
      </c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0"/>
      <c r="R43" s="240"/>
      <c r="S43" s="241"/>
      <c r="T43" s="233">
        <v>17</v>
      </c>
      <c r="U43" s="234"/>
      <c r="V43" s="234"/>
      <c r="W43" s="234"/>
      <c r="X43" s="234"/>
      <c r="Y43" s="235"/>
      <c r="Z43" s="230" t="s">
        <v>86</v>
      </c>
      <c r="AA43" s="231"/>
      <c r="AB43" s="231"/>
      <c r="AC43" s="231"/>
      <c r="AD43" s="231"/>
      <c r="AE43" s="231"/>
      <c r="AF43" s="231"/>
      <c r="AG43" s="231"/>
      <c r="AH43" s="231"/>
      <c r="AI43" s="231"/>
      <c r="AJ43" s="231"/>
      <c r="AK43" s="231"/>
      <c r="AL43" s="231"/>
      <c r="AM43" s="231"/>
      <c r="AN43" s="231"/>
      <c r="AO43" s="231"/>
      <c r="AP43" s="231"/>
      <c r="AQ43" s="231"/>
      <c r="AR43" s="231"/>
      <c r="AS43" s="231"/>
      <c r="AT43" s="231"/>
      <c r="AU43" s="231"/>
      <c r="AV43" s="232"/>
      <c r="AW43" s="230" t="s">
        <v>4</v>
      </c>
      <c r="AX43" s="231"/>
      <c r="AY43" s="231"/>
      <c r="AZ43" s="231"/>
      <c r="BA43" s="231"/>
      <c r="BB43" s="231"/>
      <c r="BC43" s="231"/>
      <c r="BD43" s="231"/>
      <c r="BE43" s="231"/>
      <c r="BF43" s="231"/>
      <c r="BG43" s="231"/>
      <c r="BH43" s="231"/>
      <c r="BI43" s="231"/>
      <c r="BJ43" s="231"/>
      <c r="BK43" s="231"/>
      <c r="BL43" s="231"/>
      <c r="BM43" s="231"/>
      <c r="BN43" s="231"/>
      <c r="BO43" s="231"/>
      <c r="BP43" s="231"/>
      <c r="BQ43" s="231"/>
      <c r="BR43" s="231"/>
      <c r="BS43" s="232"/>
      <c r="BT43" s="27" t="b">
        <f>OR(AND(Z43=Service1!$C$46,AW43=Service1!$C$56),AND(AW43&gt;"0",Z43&lt;&gt;Service1!$C$46))</f>
        <v>1</v>
      </c>
      <c r="BU43" s="28" t="b">
        <f>OR(AND(CB43=Service1!$C$46,CY43=Service1!$C$56),AND(CY43&gt;"0",CB43&lt;&gt;Service1!$C$46))</f>
        <v>1</v>
      </c>
      <c r="BV43" s="233">
        <v>2</v>
      </c>
      <c r="BW43" s="234"/>
      <c r="BX43" s="234"/>
      <c r="BY43" s="234"/>
      <c r="BZ43" s="234"/>
      <c r="CA43" s="235"/>
      <c r="CB43" s="230" t="s">
        <v>86</v>
      </c>
      <c r="CC43" s="231"/>
      <c r="CD43" s="231"/>
      <c r="CE43" s="231"/>
      <c r="CF43" s="231"/>
      <c r="CG43" s="231"/>
      <c r="CH43" s="231"/>
      <c r="CI43" s="231"/>
      <c r="CJ43" s="231"/>
      <c r="CK43" s="231"/>
      <c r="CL43" s="231"/>
      <c r="CM43" s="231"/>
      <c r="CN43" s="231"/>
      <c r="CO43" s="231"/>
      <c r="CP43" s="231"/>
      <c r="CQ43" s="231"/>
      <c r="CR43" s="231"/>
      <c r="CS43" s="231"/>
      <c r="CT43" s="231"/>
      <c r="CU43" s="231"/>
      <c r="CV43" s="231"/>
      <c r="CW43" s="231"/>
      <c r="CX43" s="232"/>
      <c r="CY43" s="230" t="s">
        <v>4</v>
      </c>
      <c r="CZ43" s="231"/>
      <c r="DA43" s="231"/>
      <c r="DB43" s="231"/>
      <c r="DC43" s="231"/>
      <c r="DD43" s="231"/>
      <c r="DE43" s="231"/>
      <c r="DF43" s="231"/>
      <c r="DG43" s="231"/>
      <c r="DH43" s="231"/>
      <c r="DI43" s="231"/>
      <c r="DJ43" s="231"/>
      <c r="DK43" s="231"/>
      <c r="DL43" s="231"/>
      <c r="DM43" s="231"/>
      <c r="DN43" s="231"/>
      <c r="DO43" s="231"/>
      <c r="DP43" s="231"/>
      <c r="DQ43" s="231"/>
      <c r="DR43" s="231"/>
      <c r="DS43" s="231"/>
      <c r="DT43" s="231"/>
      <c r="DU43" s="232"/>
      <c r="DW43" s="14"/>
    </row>
    <row r="44" spans="3:127" ht="24.95" customHeight="1" x14ac:dyDescent="0.25">
      <c r="C44" s="239" t="str">
        <f>Service1!D14</f>
        <v>Одесское</v>
      </c>
      <c r="D44" s="240"/>
      <c r="E44" s="240"/>
      <c r="F44" s="240"/>
      <c r="G44" s="240"/>
      <c r="H44" s="240"/>
      <c r="I44" s="240"/>
      <c r="J44" s="240"/>
      <c r="K44" s="240"/>
      <c r="L44" s="240"/>
      <c r="M44" s="240"/>
      <c r="N44" s="240"/>
      <c r="O44" s="240"/>
      <c r="P44" s="240"/>
      <c r="Q44" s="240"/>
      <c r="R44" s="240"/>
      <c r="S44" s="241"/>
      <c r="T44" s="233">
        <v>17</v>
      </c>
      <c r="U44" s="234"/>
      <c r="V44" s="234"/>
      <c r="W44" s="234"/>
      <c r="X44" s="234"/>
      <c r="Y44" s="235"/>
      <c r="Z44" s="230" t="s">
        <v>86</v>
      </c>
      <c r="AA44" s="231"/>
      <c r="AB44" s="231"/>
      <c r="AC44" s="231"/>
      <c r="AD44" s="231"/>
      <c r="AE44" s="231"/>
      <c r="AF44" s="231"/>
      <c r="AG44" s="231"/>
      <c r="AH44" s="231"/>
      <c r="AI44" s="231"/>
      <c r="AJ44" s="231"/>
      <c r="AK44" s="231"/>
      <c r="AL44" s="231"/>
      <c r="AM44" s="231"/>
      <c r="AN44" s="231"/>
      <c r="AO44" s="231"/>
      <c r="AP44" s="231"/>
      <c r="AQ44" s="231"/>
      <c r="AR44" s="231"/>
      <c r="AS44" s="231"/>
      <c r="AT44" s="231"/>
      <c r="AU44" s="231"/>
      <c r="AV44" s="232"/>
      <c r="AW44" s="230" t="s">
        <v>4</v>
      </c>
      <c r="AX44" s="231"/>
      <c r="AY44" s="231"/>
      <c r="AZ44" s="231"/>
      <c r="BA44" s="231"/>
      <c r="BB44" s="231"/>
      <c r="BC44" s="231"/>
      <c r="BD44" s="231"/>
      <c r="BE44" s="231"/>
      <c r="BF44" s="231"/>
      <c r="BG44" s="231"/>
      <c r="BH44" s="231"/>
      <c r="BI44" s="231"/>
      <c r="BJ44" s="231"/>
      <c r="BK44" s="231"/>
      <c r="BL44" s="231"/>
      <c r="BM44" s="231"/>
      <c r="BN44" s="231"/>
      <c r="BO44" s="231"/>
      <c r="BP44" s="231"/>
      <c r="BQ44" s="231"/>
      <c r="BR44" s="231"/>
      <c r="BS44" s="232"/>
      <c r="BT44" s="27" t="b">
        <f>OR(AND(Z44=Service1!$C$46,AW44=Service1!$C$56),AND(AW44&gt;"0",Z44&lt;&gt;Service1!$C$46))</f>
        <v>1</v>
      </c>
      <c r="BU44" s="28" t="b">
        <f>OR(AND(CB44=Service1!$C$46,CY44=Service1!$C$56),AND(CY44&gt;"0",CB44&lt;&gt;Service1!$C$46))</f>
        <v>1</v>
      </c>
      <c r="BV44" s="233">
        <v>1</v>
      </c>
      <c r="BW44" s="234"/>
      <c r="BX44" s="234"/>
      <c r="BY44" s="234"/>
      <c r="BZ44" s="234"/>
      <c r="CA44" s="235"/>
      <c r="CB44" s="230" t="s">
        <v>86</v>
      </c>
      <c r="CC44" s="231"/>
      <c r="CD44" s="231"/>
      <c r="CE44" s="231"/>
      <c r="CF44" s="231"/>
      <c r="CG44" s="231"/>
      <c r="CH44" s="231"/>
      <c r="CI44" s="231"/>
      <c r="CJ44" s="231"/>
      <c r="CK44" s="231"/>
      <c r="CL44" s="231"/>
      <c r="CM44" s="231"/>
      <c r="CN44" s="231"/>
      <c r="CO44" s="231"/>
      <c r="CP44" s="231"/>
      <c r="CQ44" s="231"/>
      <c r="CR44" s="231"/>
      <c r="CS44" s="231"/>
      <c r="CT44" s="231"/>
      <c r="CU44" s="231"/>
      <c r="CV44" s="231"/>
      <c r="CW44" s="231"/>
      <c r="CX44" s="232"/>
      <c r="CY44" s="230" t="s">
        <v>4</v>
      </c>
      <c r="CZ44" s="231"/>
      <c r="DA44" s="231"/>
      <c r="DB44" s="231"/>
      <c r="DC44" s="231"/>
      <c r="DD44" s="231"/>
      <c r="DE44" s="231"/>
      <c r="DF44" s="231"/>
      <c r="DG44" s="231"/>
      <c r="DH44" s="231"/>
      <c r="DI44" s="231"/>
      <c r="DJ44" s="231"/>
      <c r="DK44" s="231"/>
      <c r="DL44" s="231"/>
      <c r="DM44" s="231"/>
      <c r="DN44" s="231"/>
      <c r="DO44" s="231"/>
      <c r="DP44" s="231"/>
      <c r="DQ44" s="231"/>
      <c r="DR44" s="231"/>
      <c r="DS44" s="231"/>
      <c r="DT44" s="231"/>
      <c r="DU44" s="232"/>
      <c r="DW44" s="14"/>
    </row>
    <row r="45" spans="3:127" ht="24.95" customHeight="1" x14ac:dyDescent="0.25">
      <c r="C45" s="239" t="str">
        <f>Service1!D15</f>
        <v>Павлоградка</v>
      </c>
      <c r="D45" s="240"/>
      <c r="E45" s="240"/>
      <c r="F45" s="240"/>
      <c r="G45" s="240"/>
      <c r="H45" s="240"/>
      <c r="I45" s="240"/>
      <c r="J45" s="240"/>
      <c r="K45" s="240"/>
      <c r="L45" s="240"/>
      <c r="M45" s="240"/>
      <c r="N45" s="240"/>
      <c r="O45" s="240"/>
      <c r="P45" s="240"/>
      <c r="Q45" s="240"/>
      <c r="R45" s="240"/>
      <c r="S45" s="241"/>
      <c r="T45" s="233">
        <v>17</v>
      </c>
      <c r="U45" s="234"/>
      <c r="V45" s="234"/>
      <c r="W45" s="234"/>
      <c r="X45" s="234"/>
      <c r="Y45" s="235"/>
      <c r="Z45" s="230" t="s">
        <v>86</v>
      </c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2"/>
      <c r="AW45" s="230" t="s">
        <v>4</v>
      </c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2"/>
      <c r="BT45" s="27" t="b">
        <f>OR(AND(Z45=Service1!$C$46,AW45=Service1!$C$56),AND(AW45&gt;"0",Z45&lt;&gt;Service1!$C$46))</f>
        <v>1</v>
      </c>
      <c r="BU45" s="28" t="b">
        <f>OR(AND(CB45=Service1!$C$46,CY45=Service1!$C$56),AND(CY45&gt;"0",CB45&lt;&gt;Service1!$C$46))</f>
        <v>1</v>
      </c>
      <c r="BV45" s="233">
        <v>1</v>
      </c>
      <c r="BW45" s="234"/>
      <c r="BX45" s="234"/>
      <c r="BY45" s="234"/>
      <c r="BZ45" s="234"/>
      <c r="CA45" s="235"/>
      <c r="CB45" s="230" t="s">
        <v>86</v>
      </c>
      <c r="CC45" s="231"/>
      <c r="CD45" s="231"/>
      <c r="CE45" s="231"/>
      <c r="CF45" s="231"/>
      <c r="CG45" s="231"/>
      <c r="CH45" s="231"/>
      <c r="CI45" s="231"/>
      <c r="CJ45" s="231"/>
      <c r="CK45" s="231"/>
      <c r="CL45" s="231"/>
      <c r="CM45" s="231"/>
      <c r="CN45" s="231"/>
      <c r="CO45" s="231"/>
      <c r="CP45" s="231"/>
      <c r="CQ45" s="231"/>
      <c r="CR45" s="231"/>
      <c r="CS45" s="231"/>
      <c r="CT45" s="231"/>
      <c r="CU45" s="231"/>
      <c r="CV45" s="231"/>
      <c r="CW45" s="231"/>
      <c r="CX45" s="232"/>
      <c r="CY45" s="230" t="s">
        <v>4</v>
      </c>
      <c r="CZ45" s="231"/>
      <c r="DA45" s="231"/>
      <c r="DB45" s="231"/>
      <c r="DC45" s="231"/>
      <c r="DD45" s="231"/>
      <c r="DE45" s="231"/>
      <c r="DF45" s="231"/>
      <c r="DG45" s="231"/>
      <c r="DH45" s="231"/>
      <c r="DI45" s="231"/>
      <c r="DJ45" s="231"/>
      <c r="DK45" s="231"/>
      <c r="DL45" s="231"/>
      <c r="DM45" s="231"/>
      <c r="DN45" s="231"/>
      <c r="DO45" s="231"/>
      <c r="DP45" s="231"/>
      <c r="DQ45" s="231"/>
      <c r="DR45" s="231"/>
      <c r="DS45" s="231"/>
      <c r="DT45" s="231"/>
      <c r="DU45" s="232"/>
      <c r="DW45" s="14"/>
    </row>
  </sheetData>
  <sheetProtection selectLockedCells="1"/>
  <dataConsolidate/>
  <mergeCells count="262">
    <mergeCell ref="BN2:DU2"/>
    <mergeCell ref="BN25:DU25"/>
    <mergeCell ref="BV45:CA45"/>
    <mergeCell ref="CB45:CX45"/>
    <mergeCell ref="T45:Y45"/>
    <mergeCell ref="Z45:AV45"/>
    <mergeCell ref="BV30:CA30"/>
    <mergeCell ref="CB30:CX30"/>
    <mergeCell ref="BV31:CA31"/>
    <mergeCell ref="CB31:CX31"/>
    <mergeCell ref="BV32:CA32"/>
    <mergeCell ref="CB32:CX32"/>
    <mergeCell ref="BV33:CA33"/>
    <mergeCell ref="CB33:CX33"/>
    <mergeCell ref="BV34:CA34"/>
    <mergeCell ref="CB34:CX34"/>
    <mergeCell ref="BV35:CA35"/>
    <mergeCell ref="CB35:CX35"/>
    <mergeCell ref="BV36:CA36"/>
    <mergeCell ref="CB36:CX36"/>
    <mergeCell ref="BV37:CA37"/>
    <mergeCell ref="CB37:CX37"/>
    <mergeCell ref="BV38:CA38"/>
    <mergeCell ref="CB38:CX38"/>
    <mergeCell ref="BV39:CA39"/>
    <mergeCell ref="CB39:CX39"/>
    <mergeCell ref="CB15:CX15"/>
    <mergeCell ref="BV16:CA16"/>
    <mergeCell ref="T42:Y42"/>
    <mergeCell ref="Z42:AV42"/>
    <mergeCell ref="T31:Y31"/>
    <mergeCell ref="Z31:AV31"/>
    <mergeCell ref="T32:Y32"/>
    <mergeCell ref="Z32:AV32"/>
    <mergeCell ref="T33:Y33"/>
    <mergeCell ref="Z33:AV33"/>
    <mergeCell ref="T34:Y34"/>
    <mergeCell ref="Z34:AV34"/>
    <mergeCell ref="T35:Y35"/>
    <mergeCell ref="Z35:AV35"/>
    <mergeCell ref="BV40:CA40"/>
    <mergeCell ref="CB40:CX40"/>
    <mergeCell ref="T38:Y38"/>
    <mergeCell ref="Z38:AV38"/>
    <mergeCell ref="T39:Y39"/>
    <mergeCell ref="Z39:AV39"/>
    <mergeCell ref="T40:Y40"/>
    <mergeCell ref="Z40:AV40"/>
    <mergeCell ref="T41:Y41"/>
    <mergeCell ref="Z41:AV41"/>
    <mergeCell ref="Z17:AV17"/>
    <mergeCell ref="Z18:AV18"/>
    <mergeCell ref="Z19:AV19"/>
    <mergeCell ref="Z20:AV20"/>
    <mergeCell ref="Z21:AV21"/>
    <mergeCell ref="Z22:AV22"/>
    <mergeCell ref="Z7:AV7"/>
    <mergeCell ref="Z10:AV10"/>
    <mergeCell ref="Z11:AV11"/>
    <mergeCell ref="Z16:AV16"/>
    <mergeCell ref="BV7:CA7"/>
    <mergeCell ref="CB7:CX7"/>
    <mergeCell ref="BV8:CA8"/>
    <mergeCell ref="CB8:CX8"/>
    <mergeCell ref="BV9:CA9"/>
    <mergeCell ref="CB9:CX9"/>
    <mergeCell ref="BV10:CA10"/>
    <mergeCell ref="CB10:CX10"/>
    <mergeCell ref="BV11:CA11"/>
    <mergeCell ref="CB11:CX11"/>
    <mergeCell ref="BV12:CA12"/>
    <mergeCell ref="CB12:CX12"/>
    <mergeCell ref="BV13:CA13"/>
    <mergeCell ref="CB13:CX13"/>
    <mergeCell ref="BV14:CA14"/>
    <mergeCell ref="CB14:CX14"/>
    <mergeCell ref="BV15:CA15"/>
    <mergeCell ref="T14:Y14"/>
    <mergeCell ref="T15:Y15"/>
    <mergeCell ref="Z12:AV12"/>
    <mergeCell ref="Z13:AV13"/>
    <mergeCell ref="Z14:AV14"/>
    <mergeCell ref="Z15:AV15"/>
    <mergeCell ref="CB21:CX21"/>
    <mergeCell ref="BV22:CA22"/>
    <mergeCell ref="CB22:CX22"/>
    <mergeCell ref="BV5:CM5"/>
    <mergeCell ref="BV6:CM6"/>
    <mergeCell ref="T6:AK6"/>
    <mergeCell ref="BC5:BS5"/>
    <mergeCell ref="BC6:BS6"/>
    <mergeCell ref="AL5:BB5"/>
    <mergeCell ref="AL6:BB6"/>
    <mergeCell ref="CN5:DD5"/>
    <mergeCell ref="CN6:DD6"/>
    <mergeCell ref="T16:Y16"/>
    <mergeCell ref="T17:Y17"/>
    <mergeCell ref="T18:Y18"/>
    <mergeCell ref="T19:Y19"/>
    <mergeCell ref="T20:Y20"/>
    <mergeCell ref="T21:Y21"/>
    <mergeCell ref="T22:Y22"/>
    <mergeCell ref="Z8:AV8"/>
    <mergeCell ref="Z9:AV9"/>
    <mergeCell ref="T8:Y8"/>
    <mergeCell ref="T7:Y7"/>
    <mergeCell ref="T9:Y9"/>
    <mergeCell ref="AW22:BS22"/>
    <mergeCell ref="AW21:BS21"/>
    <mergeCell ref="AW14:BS14"/>
    <mergeCell ref="AW15:BS15"/>
    <mergeCell ref="AW10:BS10"/>
    <mergeCell ref="AW11:BS11"/>
    <mergeCell ref="CY17:DU17"/>
    <mergeCell ref="CY18:DU18"/>
    <mergeCell ref="CY15:DU15"/>
    <mergeCell ref="CY16:DU16"/>
    <mergeCell ref="CB16:CX16"/>
    <mergeCell ref="BV17:CA17"/>
    <mergeCell ref="CB17:CX17"/>
    <mergeCell ref="BV18:CA18"/>
    <mergeCell ref="CB18:CX18"/>
    <mergeCell ref="CY21:DU21"/>
    <mergeCell ref="CY22:DU22"/>
    <mergeCell ref="CY19:DU19"/>
    <mergeCell ref="CY20:DU20"/>
    <mergeCell ref="BV19:CA19"/>
    <mergeCell ref="CB19:CX19"/>
    <mergeCell ref="BV20:CA20"/>
    <mergeCell ref="CB20:CX20"/>
    <mergeCell ref="BV21:CA21"/>
    <mergeCell ref="T4:BS4"/>
    <mergeCell ref="CY7:DU7"/>
    <mergeCell ref="CY8:DU8"/>
    <mergeCell ref="AW20:BS20"/>
    <mergeCell ref="AW18:BS18"/>
    <mergeCell ref="AW19:BS19"/>
    <mergeCell ref="AW16:BS16"/>
    <mergeCell ref="AW17:BS17"/>
    <mergeCell ref="AW13:BS13"/>
    <mergeCell ref="AW8:BS8"/>
    <mergeCell ref="AW7:BS7"/>
    <mergeCell ref="AW9:BS9"/>
    <mergeCell ref="CY13:DU13"/>
    <mergeCell ref="CY14:DU14"/>
    <mergeCell ref="CY11:DU11"/>
    <mergeCell ref="CY12:DU12"/>
    <mergeCell ref="CY9:DU9"/>
    <mergeCell ref="CY10:DU10"/>
    <mergeCell ref="DE5:DU5"/>
    <mergeCell ref="DE6:DU6"/>
    <mergeCell ref="T10:Y10"/>
    <mergeCell ref="T11:Y11"/>
    <mergeCell ref="T12:Y12"/>
    <mergeCell ref="T13:Y13"/>
    <mergeCell ref="BV4:DU4"/>
    <mergeCell ref="T5:AK5"/>
    <mergeCell ref="C2:K2"/>
    <mergeCell ref="L2:U2"/>
    <mergeCell ref="C25:K25"/>
    <mergeCell ref="L25:U25"/>
    <mergeCell ref="W2:AE2"/>
    <mergeCell ref="C6:S6"/>
    <mergeCell ref="C9:S9"/>
    <mergeCell ref="C16:S16"/>
    <mergeCell ref="C15:S15"/>
    <mergeCell ref="C14:S14"/>
    <mergeCell ref="C13:S13"/>
    <mergeCell ref="C12:S12"/>
    <mergeCell ref="C11:S11"/>
    <mergeCell ref="C10:S10"/>
    <mergeCell ref="C21:S21"/>
    <mergeCell ref="C22:S22"/>
    <mergeCell ref="C8:S8"/>
    <mergeCell ref="C17:S17"/>
    <mergeCell ref="C18:S18"/>
    <mergeCell ref="C19:S19"/>
    <mergeCell ref="C20:S20"/>
    <mergeCell ref="AW12:BS12"/>
    <mergeCell ref="C31:S31"/>
    <mergeCell ref="AW31:BS31"/>
    <mergeCell ref="CY31:DU31"/>
    <mergeCell ref="C32:S32"/>
    <mergeCell ref="T27:BS27"/>
    <mergeCell ref="BV27:DU27"/>
    <mergeCell ref="T28:AK28"/>
    <mergeCell ref="BV28:CM28"/>
    <mergeCell ref="C29:S29"/>
    <mergeCell ref="T29:AK29"/>
    <mergeCell ref="BV29:CM29"/>
    <mergeCell ref="AL28:BB28"/>
    <mergeCell ref="BC28:BS28"/>
    <mergeCell ref="AL29:BB29"/>
    <mergeCell ref="BC29:BS29"/>
    <mergeCell ref="CN28:DD28"/>
    <mergeCell ref="DE28:DU28"/>
    <mergeCell ref="CN29:DD29"/>
    <mergeCell ref="DE29:DU29"/>
    <mergeCell ref="AW32:BS32"/>
    <mergeCell ref="CY32:DU32"/>
    <mergeCell ref="CY37:DU37"/>
    <mergeCell ref="T36:Y36"/>
    <mergeCell ref="Z36:AV36"/>
    <mergeCell ref="T37:Y37"/>
    <mergeCell ref="Z37:AV37"/>
    <mergeCell ref="C33:S33"/>
    <mergeCell ref="AW33:BS33"/>
    <mergeCell ref="CY33:DU33"/>
    <mergeCell ref="C34:S34"/>
    <mergeCell ref="AW34:BS34"/>
    <mergeCell ref="CY34:DU34"/>
    <mergeCell ref="C35:S35"/>
    <mergeCell ref="AW35:BS35"/>
    <mergeCell ref="CY35:DU35"/>
    <mergeCell ref="C45:S45"/>
    <mergeCell ref="AW45:BS45"/>
    <mergeCell ref="CY45:DU45"/>
    <mergeCell ref="AW40:BS40"/>
    <mergeCell ref="CY40:DU40"/>
    <mergeCell ref="C41:S41"/>
    <mergeCell ref="AW41:BS41"/>
    <mergeCell ref="CY41:DU41"/>
    <mergeCell ref="C43:S43"/>
    <mergeCell ref="AW43:BS43"/>
    <mergeCell ref="CY43:DU43"/>
    <mergeCell ref="C40:S40"/>
    <mergeCell ref="C44:S44"/>
    <mergeCell ref="AW44:BS44"/>
    <mergeCell ref="CY44:DU44"/>
    <mergeCell ref="T43:Y43"/>
    <mergeCell ref="Z43:AV43"/>
    <mergeCell ref="T44:Y44"/>
    <mergeCell ref="Z44:AV44"/>
    <mergeCell ref="BV41:CA41"/>
    <mergeCell ref="CB41:CX41"/>
    <mergeCell ref="BV42:CA42"/>
    <mergeCell ref="CB42:CX42"/>
    <mergeCell ref="BV43:CA43"/>
    <mergeCell ref="CB43:CX43"/>
    <mergeCell ref="BV44:CA44"/>
    <mergeCell ref="CB44:CX44"/>
    <mergeCell ref="AG2:AR2"/>
    <mergeCell ref="C42:S42"/>
    <mergeCell ref="AW42:BS42"/>
    <mergeCell ref="CY42:DU42"/>
    <mergeCell ref="C38:S38"/>
    <mergeCell ref="AW38:BS38"/>
    <mergeCell ref="CY38:DU38"/>
    <mergeCell ref="C39:S39"/>
    <mergeCell ref="AW39:BS39"/>
    <mergeCell ref="CY39:DU39"/>
    <mergeCell ref="C36:S36"/>
    <mergeCell ref="W25:AE25"/>
    <mergeCell ref="AG25:AR25"/>
    <mergeCell ref="AW30:BS30"/>
    <mergeCell ref="CY30:DU30"/>
    <mergeCell ref="T30:Y30"/>
    <mergeCell ref="Z30:AV30"/>
    <mergeCell ref="AW36:BS36"/>
    <mergeCell ref="CY36:DU36"/>
    <mergeCell ref="C37:S37"/>
    <mergeCell ref="AW37:BS37"/>
  </mergeCells>
  <conditionalFormatting sqref="Z8:BS8">
    <cfRule type="expression" dxfId="134" priority="192">
      <formula>$BT$8=FALSE</formula>
    </cfRule>
  </conditionalFormatting>
  <conditionalFormatting sqref="Z10:BS10">
    <cfRule type="expression" dxfId="133" priority="71">
      <formula>$BT$10=FALSE</formula>
    </cfRule>
  </conditionalFormatting>
  <conditionalFormatting sqref="Z11:BS11 Z12:AV12">
    <cfRule type="expression" dxfId="132" priority="70">
      <formula>$BT$11=FALSE</formula>
    </cfRule>
  </conditionalFormatting>
  <conditionalFormatting sqref="AW12:BS12">
    <cfRule type="expression" dxfId="131" priority="69">
      <formula>$BT$12=FALSE</formula>
    </cfRule>
  </conditionalFormatting>
  <conditionalFormatting sqref="Z13:BS13">
    <cfRule type="expression" dxfId="130" priority="68">
      <formula>$BT$13=FALSE</formula>
    </cfRule>
  </conditionalFormatting>
  <conditionalFormatting sqref="Z14:BS14">
    <cfRule type="expression" dxfId="129" priority="66">
      <formula>$BT$14=FALSE</formula>
    </cfRule>
  </conditionalFormatting>
  <conditionalFormatting sqref="Z15:BS15">
    <cfRule type="expression" dxfId="128" priority="65">
      <formula>$BT$15=FALSE</formula>
    </cfRule>
  </conditionalFormatting>
  <conditionalFormatting sqref="Z16:BS16 Z17:AV18">
    <cfRule type="expression" dxfId="127" priority="64">
      <formula>$BT$16=FALSE</formula>
    </cfRule>
  </conditionalFormatting>
  <conditionalFormatting sqref="AW17:BS17">
    <cfRule type="expression" dxfId="126" priority="63">
      <formula>$BT$17=FALSE</formula>
    </cfRule>
  </conditionalFormatting>
  <conditionalFormatting sqref="AW18:BS18 Z19:AV19">
    <cfRule type="expression" dxfId="125" priority="61">
      <formula>$BT$18=FALSE</formula>
    </cfRule>
  </conditionalFormatting>
  <conditionalFormatting sqref="AW19:BS19">
    <cfRule type="expression" dxfId="124" priority="60">
      <formula>$BT$19=FALSE</formula>
    </cfRule>
  </conditionalFormatting>
  <conditionalFormatting sqref="Z20:BS20">
    <cfRule type="expression" dxfId="123" priority="59">
      <formula>$BT$20=FALSE</formula>
    </cfRule>
  </conditionalFormatting>
  <conditionalFormatting sqref="Z21:BS21">
    <cfRule type="expression" dxfId="122" priority="58">
      <formula>$BT$21=FALSE</formula>
    </cfRule>
  </conditionalFormatting>
  <conditionalFormatting sqref="CB8:DU8 CB9:CX9">
    <cfRule type="expression" dxfId="121" priority="131">
      <formula>$BU$8=FALSE</formula>
    </cfRule>
  </conditionalFormatting>
  <conditionalFormatting sqref="CY9:DU9">
    <cfRule type="expression" dxfId="120" priority="130">
      <formula>$BU$9=FALSE</formula>
    </cfRule>
  </conditionalFormatting>
  <conditionalFormatting sqref="CY10:DU14">
    <cfRule type="expression" dxfId="119" priority="129">
      <formula>$BU$10=FALSE</formula>
    </cfRule>
  </conditionalFormatting>
  <conditionalFormatting sqref="CY15:DU15">
    <cfRule type="expression" dxfId="118" priority="123">
      <formula>$BU$15=FALSE</formula>
    </cfRule>
  </conditionalFormatting>
  <conditionalFormatting sqref="CY16:DU16">
    <cfRule type="expression" dxfId="117" priority="122">
      <formula>$BU$16=FALSE</formula>
    </cfRule>
  </conditionalFormatting>
  <conditionalFormatting sqref="CY17:DU17">
    <cfRule type="expression" dxfId="116" priority="121">
      <formula>$BU$17=FALSE</formula>
    </cfRule>
  </conditionalFormatting>
  <conditionalFormatting sqref="CY18:DU18">
    <cfRule type="expression" dxfId="115" priority="120">
      <formula>$BU$18=FALSE</formula>
    </cfRule>
  </conditionalFormatting>
  <conditionalFormatting sqref="CY19:DU19">
    <cfRule type="expression" dxfId="114" priority="119">
      <formula>$BU$19=FALSE</formula>
    </cfRule>
  </conditionalFormatting>
  <conditionalFormatting sqref="CB20:DU20 CY21:DU21">
    <cfRule type="expression" dxfId="113" priority="118">
      <formula>$BU$20=FALSE</formula>
    </cfRule>
  </conditionalFormatting>
  <conditionalFormatting sqref="CY21:DU21">
    <cfRule type="expression" dxfId="112" priority="117">
      <formula>$BU$21=FALSE</formula>
    </cfRule>
  </conditionalFormatting>
  <conditionalFormatting sqref="CY22:DU22">
    <cfRule type="expression" dxfId="111" priority="116">
      <formula>$BU$22=FALSE</formula>
    </cfRule>
  </conditionalFormatting>
  <conditionalFormatting sqref="Z31:BS31 AW32:BS32 AW34:BS34">
    <cfRule type="expression" dxfId="110" priority="115">
      <formula>$BT$31=FALSE</formula>
    </cfRule>
  </conditionalFormatting>
  <conditionalFormatting sqref="Z32:BS32 Z34:BS34">
    <cfRule type="expression" dxfId="109" priority="114">
      <formula>$BT$32=FALSE</formula>
    </cfRule>
  </conditionalFormatting>
  <conditionalFormatting sqref="AW33:BS33 AW35:BS41">
    <cfRule type="expression" dxfId="108" priority="113">
      <formula>$BT$33=FALSE</formula>
    </cfRule>
  </conditionalFormatting>
  <conditionalFormatting sqref="AW42:BS42">
    <cfRule type="expression" dxfId="107" priority="103">
      <formula>$BT$42=FALSE</formula>
    </cfRule>
  </conditionalFormatting>
  <conditionalFormatting sqref="AW43:BS43">
    <cfRule type="expression" dxfId="106" priority="102">
      <formula>$BT$43=FALSE</formula>
    </cfRule>
  </conditionalFormatting>
  <conditionalFormatting sqref="AW44:BS44">
    <cfRule type="expression" dxfId="105" priority="101">
      <formula>$BT$44=FALSE</formula>
    </cfRule>
  </conditionalFormatting>
  <conditionalFormatting sqref="AW45:BS45">
    <cfRule type="expression" dxfId="104" priority="100">
      <formula>$BT$45=FALSE</formula>
    </cfRule>
  </conditionalFormatting>
  <conditionalFormatting sqref="CB31:DU31 CB32:CX32">
    <cfRule type="expression" dxfId="103" priority="99">
      <formula>$BU$31=FALSE</formula>
    </cfRule>
  </conditionalFormatting>
  <conditionalFormatting sqref="CY32:DU32">
    <cfRule type="expression" dxfId="102" priority="98">
      <formula>$BU$32=FALSE</formula>
    </cfRule>
  </conditionalFormatting>
  <conditionalFormatting sqref="CB33:DU43">
    <cfRule type="expression" dxfId="101" priority="97">
      <formula>$BU$33=FALSE</formula>
    </cfRule>
  </conditionalFormatting>
  <conditionalFormatting sqref="CY44:DU44">
    <cfRule type="expression" dxfId="100" priority="86">
      <formula>$BU$44=FALSE</formula>
    </cfRule>
  </conditionalFormatting>
  <conditionalFormatting sqref="CY45:DU45">
    <cfRule type="expression" dxfId="99" priority="85">
      <formula>$BU$45=FALSE</formula>
    </cfRule>
  </conditionalFormatting>
  <conditionalFormatting sqref="Z9:BS9">
    <cfRule type="expression" dxfId="98" priority="83">
      <formula>$BT$9=FALSE</formula>
    </cfRule>
  </conditionalFormatting>
  <conditionalFormatting sqref="CB10:CX14">
    <cfRule type="expression" dxfId="97" priority="51">
      <formula>$BU$9=FALSE</formula>
    </cfRule>
  </conditionalFormatting>
  <conditionalFormatting sqref="CB15:CX19">
    <cfRule type="expression" dxfId="96" priority="36">
      <formula>$BU$13=FALSE</formula>
    </cfRule>
  </conditionalFormatting>
  <conditionalFormatting sqref="CB21:CX22">
    <cfRule type="expression" dxfId="95" priority="31">
      <formula>$BU$20=FALSE</formula>
    </cfRule>
  </conditionalFormatting>
  <conditionalFormatting sqref="CY10:DU14">
    <cfRule type="expression" dxfId="94" priority="30">
      <formula>$BU$9=FALSE</formula>
    </cfRule>
  </conditionalFormatting>
  <conditionalFormatting sqref="CY15:DU22">
    <cfRule type="expression" dxfId="93" priority="29">
      <formula>$BU$11=FALSE</formula>
    </cfRule>
  </conditionalFormatting>
  <conditionalFormatting sqref="Z33:AV33 Z35:AV41">
    <cfRule type="expression" dxfId="92" priority="24">
      <formula>$BT$32=FALSE</formula>
    </cfRule>
  </conditionalFormatting>
  <conditionalFormatting sqref="Z42:AV45">
    <cfRule type="expression" dxfId="91" priority="14">
      <formula>$BT$36=FALSE</formula>
    </cfRule>
  </conditionalFormatting>
  <conditionalFormatting sqref="AW33:BS33 AW35:BS41">
    <cfRule type="expression" dxfId="90" priority="13">
      <formula>$BT$32=FALSE</formula>
    </cfRule>
  </conditionalFormatting>
  <conditionalFormatting sqref="AW42:BS45">
    <cfRule type="expression" dxfId="89" priority="12">
      <formula>$BT$34=FALSE</formula>
    </cfRule>
  </conditionalFormatting>
  <conditionalFormatting sqref="CB45:CX45">
    <cfRule type="expression" dxfId="88" priority="7">
      <formula>$BU$34=FALSE</formula>
    </cfRule>
  </conditionalFormatting>
  <conditionalFormatting sqref="CY44:DU45">
    <cfRule type="expression" dxfId="87" priority="6">
      <formula>$BU$32=FALSE</formula>
    </cfRule>
  </conditionalFormatting>
  <conditionalFormatting sqref="CB44:CX44">
    <cfRule type="expression" dxfId="86" priority="1">
      <formula>$BU$33=FALSE</formula>
    </cfRule>
  </conditionalFormatting>
  <dataValidations count="2">
    <dataValidation type="whole" allowBlank="1" showInputMessage="1" showErrorMessage="1" errorTitle="Ошибка" error="Можно ввести только целое число!" sqref="T31:T45 T8:T22 BV8:BV22 BV31:BV45">
      <formula1>-90</formula1>
      <formula2>90</formula2>
    </dataValidation>
    <dataValidation type="list" allowBlank="1" showInputMessage="1" showErrorMessage="1" errorTitle="Ошибка!" error="Можно выбирать значения только из списка" sqref="CY17">
      <formula1>$C$24:$C$28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ExportMain.ExportJson">
                <anchor moveWithCells="1" sizeWithCells="1">
                  <from>
                    <xdr:col>127</xdr:col>
                    <xdr:colOff>38100</xdr:colOff>
                    <xdr:row>20</xdr:row>
                    <xdr:rowOff>161925</xdr:rowOff>
                  </from>
                  <to>
                    <xdr:col>149</xdr:col>
                    <xdr:colOff>47625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ExportWordVoiceTomorrow">
                <anchor moveWithCells="1" sizeWithCells="1">
                  <from>
                    <xdr:col>127</xdr:col>
                    <xdr:colOff>38100</xdr:colOff>
                    <xdr:row>22</xdr:row>
                    <xdr:rowOff>190500</xdr:rowOff>
                  </from>
                  <to>
                    <xdr:col>149</xdr:col>
                    <xdr:colOff>47625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xportWordWordNBTomorrow">
                <anchor moveWithCells="1" sizeWithCells="1">
                  <from>
                    <xdr:col>127</xdr:col>
                    <xdr:colOff>38100</xdr:colOff>
                    <xdr:row>25</xdr:row>
                    <xdr:rowOff>123825</xdr:rowOff>
                  </from>
                  <to>
                    <xdr:col>149</xdr:col>
                    <xdr:colOff>47625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ExportWordVoiceAfterTomorrow">
                <anchor moveWithCells="1" sizeWithCells="1">
                  <from>
                    <xdr:col>127</xdr:col>
                    <xdr:colOff>38100</xdr:colOff>
                    <xdr:row>28</xdr:row>
                    <xdr:rowOff>190500</xdr:rowOff>
                  </from>
                  <to>
                    <xdr:col>149</xdr:col>
                    <xdr:colOff>47625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ExportAll">
                <anchor moveWithCells="1" sizeWithCells="1">
                  <from>
                    <xdr:col>127</xdr:col>
                    <xdr:colOff>38100</xdr:colOff>
                    <xdr:row>0</xdr:row>
                    <xdr:rowOff>114300</xdr:rowOff>
                  </from>
                  <to>
                    <xdr:col>149</xdr:col>
                    <xdr:colOff>47625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opyCopy">
                <anchor moveWithCells="1" sizeWithCells="1">
                  <from>
                    <xdr:col>46</xdr:col>
                    <xdr:colOff>28575</xdr:colOff>
                    <xdr:row>1</xdr:row>
                    <xdr:rowOff>9525</xdr:rowOff>
                  </from>
                  <to>
                    <xdr:col>54</xdr:col>
                    <xdr:colOff>57150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CtrV">
                <anchor moveWithCells="1" sizeWithCells="1">
                  <from>
                    <xdr:col>55</xdr:col>
                    <xdr:colOff>76200</xdr:colOff>
                    <xdr:row>1</xdr:row>
                    <xdr:rowOff>9525</xdr:rowOff>
                  </from>
                  <to>
                    <xdr:col>63</xdr:col>
                    <xdr:colOff>104775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CopyCopy">
                <anchor moveWithCells="1" sizeWithCells="1">
                  <from>
                    <xdr:col>46</xdr:col>
                    <xdr:colOff>28575</xdr:colOff>
                    <xdr:row>24</xdr:row>
                    <xdr:rowOff>0</xdr:rowOff>
                  </from>
                  <to>
                    <xdr:col>54</xdr:col>
                    <xdr:colOff>57150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CtrV">
                <anchor moveWithCells="1" sizeWithCells="1">
                  <from>
                    <xdr:col>55</xdr:col>
                    <xdr:colOff>76200</xdr:colOff>
                    <xdr:row>24</xdr:row>
                    <xdr:rowOff>0</xdr:rowOff>
                  </from>
                  <to>
                    <xdr:col>63</xdr:col>
                    <xdr:colOff>104775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15" operator="equal" id="{5C62ECA0-28F7-4C8F-9B15-3F41132CB861}">
            <xm:f>Service1!$C$50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316" operator="equal" id="{E111BB79-9745-4403-978A-91EDF74BA162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317" operator="equal" id="{EAF4857C-0D44-4D4B-9C70-59FD55A84295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318" operator="equal" id="{C9CDA74A-9F8B-4C2C-97E3-D4C0FBB9ECD7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Z8 CY17 Z31:Z32 CB20 Z34 CB31:CB43 Z19 CB8:CB9</xm:sqref>
        </x14:conditionalFormatting>
        <x14:conditionalFormatting xmlns:xm="http://schemas.microsoft.com/office/excel/2006/main">
          <x14:cfRule type="cellIs" priority="319" operator="equal" id="{F4ED12AF-FBF8-430E-985E-0B5317599B24}">
            <xm:f>Service1!$C$65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320" operator="equal" id="{A5E83750-D566-40F4-BC36-AA1893CF6B51}">
            <xm:f>Service1!$C$64</xm:f>
            <x14:dxf>
              <fill>
                <patternFill>
                  <bgColor theme="7" tint="0.59996337778862885"/>
                </patternFill>
              </fill>
            </x14:dxf>
          </x14:cfRule>
          <x14:cfRule type="cellIs" priority="321" operator="equal" id="{84690CB1-DEF0-4D66-997A-FE2E97B11C30}">
            <xm:f>Service1!$C$63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322" operator="equal" id="{530CF858-336E-440E-947F-C080EDA16D33}">
            <xm:f>Service1!$C$62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323" operator="equal" id="{93B495DC-F82B-492D-A884-D5E7D2E4DFE3}">
            <xm:f>Service1!$C$61</xm:f>
            <x14:dxf>
              <fill>
                <patternFill>
                  <bgColor theme="7" tint="0.59996337778862885"/>
                </patternFill>
              </fill>
            </x14:dxf>
          </x14:cfRule>
          <x14:cfRule type="cellIs" priority="324" operator="equal" id="{EE6A1381-FD8A-4B8D-A47F-E7AC743330A4}">
            <xm:f>Service1!$C$60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325" operator="equal" id="{285960F0-B6D9-414A-B984-A9AEE1FDE650}">
            <xm:f>Service1!$C$59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326" operator="equal" id="{57099CBA-9A0B-4A9C-84A4-5271F78E69EE}">
            <xm:f>Service1!$C$58</xm:f>
            <x14:dxf>
              <fill>
                <patternFill>
                  <bgColor theme="7" tint="0.59996337778862885"/>
                </patternFill>
              </fill>
            </x14:dxf>
          </x14:cfRule>
          <x14:cfRule type="cellIs" priority="327" operator="equal" id="{418254F3-BD39-4A35-97C9-64F230EBA925}">
            <xm:f>Service1!$C$57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328" operator="equal" id="{60E54D3E-5D37-492D-AEAA-9D98B7D1BD61}">
            <xm:f>Service1!$C$56</xm:f>
            <x14:dxf>
              <fill>
                <patternFill>
                  <bgColor rgb="FFFFFFDD"/>
                </patternFill>
              </fill>
            </x14:dxf>
          </x14:cfRule>
          <xm:sqref>AW8:BS22 AW31:BS45 CY31:DU45 CY8:DU22</xm:sqref>
        </x14:conditionalFormatting>
        <x14:conditionalFormatting xmlns:xm="http://schemas.microsoft.com/office/excel/2006/main">
          <x14:cfRule type="cellIs" priority="201" operator="equal" id="{362F3C15-E77E-4484-98E6-18397AEF36F6}">
            <xm:f>Service1!$C$50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202" operator="equal" id="{0D2D1FFA-62B5-4D6C-B690-D3E367D5346C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203" operator="equal" id="{DB75A9F8-11B5-4106-A2F6-BA2A088A66D5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205" operator="equal" id="{5643E089-F4D9-47F0-AAA9-B16A0455959D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Z9:Z12</xm:sqref>
        </x14:conditionalFormatting>
        <x14:conditionalFormatting xmlns:xm="http://schemas.microsoft.com/office/excel/2006/main">
          <x14:cfRule type="cellIs" priority="197" operator="equal" id="{3C36C66C-AD88-459F-9BD1-3D52AD885AFF}">
            <xm:f>Service1!$C$50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198" operator="equal" id="{17F102B4-5BF2-44AF-92A0-5BF0459D32E0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199" operator="equal" id="{DEDEB8E3-4F0D-4C54-80AD-36BB516EB0A2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200" operator="equal" id="{0366FCE1-ACCE-46F8-84CC-5905ECC64887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Z13:Z18</xm:sqref>
        </x14:conditionalFormatting>
        <x14:conditionalFormatting xmlns:xm="http://schemas.microsoft.com/office/excel/2006/main">
          <x14:cfRule type="cellIs" priority="193" operator="equal" id="{735C98D2-31DA-4013-81D1-DAB48CE4049A}">
            <xm:f>Service1!$C$50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194" operator="equal" id="{5D430FDA-77F3-462D-9C0D-D7147F85C722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195" operator="equal" id="{B7E7F0E7-B2D5-4A76-84C9-D92C83366A18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196" operator="equal" id="{F73935AD-21E6-4E6E-8D6E-35E5BD71E314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Z20:Z22</xm:sqref>
        </x14:conditionalFormatting>
        <x14:conditionalFormatting xmlns:xm="http://schemas.microsoft.com/office/excel/2006/main">
          <x14:cfRule type="cellIs" priority="52" operator="equal" id="{987EE86B-F726-459D-A0AC-11AB2B39D12B}">
            <xm:f>Service1!$C$50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53" operator="equal" id="{C607425E-11F0-4ED5-9E25-C3648163A321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54" operator="equal" id="{84C7C7C0-17B7-4093-838A-8650F7FB7BA6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55" operator="equal" id="{A4108662-D726-43AB-8343-32A91E02A691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CB10:CB14</xm:sqref>
        </x14:conditionalFormatting>
        <x14:conditionalFormatting xmlns:xm="http://schemas.microsoft.com/office/excel/2006/main">
          <x14:cfRule type="cellIs" priority="37" operator="equal" id="{C3B0491F-4268-4C3A-98FD-D44C93061E37}">
            <xm:f>Service1!$C$50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38" operator="equal" id="{0FEA69F3-210C-4ECB-8294-AF72918A9B15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39" operator="equal" id="{DA2573A6-BB9B-4EE5-8CCE-3CA9FFC86D36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40" operator="equal" id="{3CE63D94-1E9B-4328-B558-02D57B19E943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CB15:CB19</xm:sqref>
        </x14:conditionalFormatting>
        <x14:conditionalFormatting xmlns:xm="http://schemas.microsoft.com/office/excel/2006/main">
          <x14:cfRule type="cellIs" priority="32" operator="equal" id="{B9F2BAF3-E92F-4F00-9F0F-92C89095070A}">
            <xm:f>Service1!$C$50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33" operator="equal" id="{F9A3D511-8F46-4A7A-96C0-4C42DFEF2E98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34" operator="equal" id="{20ED78F6-9B88-427C-8662-4D9008B18C41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35" operator="equal" id="{CEB12D7C-F80E-4FFC-8577-70CD5D6D1139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CB21:CB22</xm:sqref>
        </x14:conditionalFormatting>
        <x14:conditionalFormatting xmlns:xm="http://schemas.microsoft.com/office/excel/2006/main">
          <x14:cfRule type="cellIs" priority="25" operator="equal" id="{BC7EEC52-9FE1-4E09-B10F-6423F3BD896E}">
            <xm:f>Service1!$C$50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26" operator="equal" id="{0EFDF849-D591-416F-8ADA-12319868E32F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27" operator="equal" id="{0398A462-C735-4504-9C31-AFC5650EF7EF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28" operator="equal" id="{88629326-2F61-4AC6-B99D-B6A39D8AECEB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Z33 Z35:Z41</xm:sqref>
        </x14:conditionalFormatting>
        <x14:conditionalFormatting xmlns:xm="http://schemas.microsoft.com/office/excel/2006/main">
          <x14:cfRule type="cellIs" priority="15" operator="equal" id="{E3EFE9BF-F8E6-4593-B4EC-E887E34C84C5}">
            <xm:f>Service1!$C$50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16" operator="equal" id="{BF21C855-8169-4D57-997A-CD5904616CB2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17" operator="equal" id="{0026FC33-F88A-49AA-B45B-CF501C1C56F0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18" operator="equal" id="{86BA0172-00FA-42AE-99DA-AE39916BCBE6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Z42:Z45</xm:sqref>
        </x14:conditionalFormatting>
        <x14:conditionalFormatting xmlns:xm="http://schemas.microsoft.com/office/excel/2006/main">
          <x14:cfRule type="cellIs" priority="8" operator="equal" id="{50B6710B-58AC-429F-AF5E-1F52BEE29777}">
            <xm:f>Service1!$C$50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9" operator="equal" id="{FF1D5DB5-2AAA-4620-AAAA-CD38873F1A9A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10" operator="equal" id="{DC50078F-92DD-4672-A930-588649D99B61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11" operator="equal" id="{560021D7-9C73-429B-AA0A-1909AE2D5A7C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CB45</xm:sqref>
        </x14:conditionalFormatting>
        <x14:conditionalFormatting xmlns:xm="http://schemas.microsoft.com/office/excel/2006/main">
          <x14:cfRule type="cellIs" priority="2" operator="equal" id="{3DAE0B49-0F33-4368-A0B3-9EF83D9B04DD}">
            <xm:f>Service1!$C$50</xm:f>
            <x14:dxf>
              <fill>
                <patternFill>
                  <bgColor theme="3" tint="0.59996337778862885"/>
                </patternFill>
              </fill>
            </x14:dxf>
          </x14:cfRule>
          <x14:cfRule type="cellIs" priority="3" operator="equal" id="{18D4000D-F3F5-4BD8-B8DF-5AA258002582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4" operator="equal" id="{16E8FAB6-F618-4A4A-BAC4-7E8DF3207C47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5" operator="equal" id="{BE1692F0-2D4F-45E6-8D6F-4D27446415A0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Ошибка!" error="Можно выбирать значения только из списка">
          <x14:formula1>
            <xm:f>Service1!$C$46:$C$50</xm:f>
          </x14:formula1>
          <xm:sqref>CB31:CX45 Z31:AV45 CB8:CB22</xm:sqref>
        </x14:dataValidation>
        <x14:dataValidation type="list" allowBlank="1" showInputMessage="1" showErrorMessage="1" errorTitle="Ошибка!" error="Можно выбирать значения только из списка">
          <x14:formula1>
            <xm:f>Service1!$C$46:$C$50</xm:f>
          </x14:formula1>
          <xm:sqref>Z8:AV22</xm:sqref>
        </x14:dataValidation>
        <x14:dataValidation type="list" allowBlank="1" showInputMessage="1" showErrorMessage="1">
          <x14:formula1>
            <xm:f>Service1!$C$56:$C$66</xm:f>
          </x14:formula1>
          <xm:sqref>AW31:BS45</xm:sqref>
        </x14:dataValidation>
        <x14:dataValidation type="list" allowBlank="1" showInputMessage="1" showErrorMessage="1">
          <x14:formula1>
            <xm:f>Service1!$C$56:$C$66</xm:f>
          </x14:formula1>
          <xm:sqref>CY31:DU45</xm:sqref>
        </x14:dataValidation>
        <x14:dataValidation type="list" allowBlank="1" showInputMessage="1" showErrorMessage="1">
          <x14:formula1>
            <xm:f>Service1!$C$56:$C$66</xm:f>
          </x14:formula1>
          <xm:sqref>AW8:BS22</xm:sqref>
        </x14:dataValidation>
        <x14:dataValidation type="list" allowBlank="1" showInputMessage="1" showErrorMessage="1">
          <x14:formula1>
            <xm:f>Service1!$C$56:$C$66</xm:f>
          </x14:formula1>
          <xm:sqref>CY8:DU16</xm:sqref>
        </x14:dataValidation>
        <x14:dataValidation type="list" allowBlank="1" showInputMessage="1" showErrorMessage="1">
          <x14:formula1>
            <xm:f>Service1!$C$56:$C$66</xm:f>
          </x14:formula1>
          <xm:sqref>CY18:DU22</xm:sqref>
        </x14:dataValidation>
        <x14:dataValidation type="list" allowBlank="1" showInputMessage="1" showErrorMessage="1" errorTitle="Ошибка!" error="Выбери значение из раскрывающегося списка!">
          <x14:formula1>
            <xm:f>Service1!$C$33:$C$40</xm:f>
          </x14:formula1>
          <xm:sqref>T6:AK6 BV6:CM6 T29:AK29 BV29:CM29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BE118"/>
  <sheetViews>
    <sheetView zoomScaleNormal="100" workbookViewId="0">
      <selection activeCell="M17" sqref="M17:O17"/>
    </sheetView>
  </sheetViews>
  <sheetFormatPr defaultRowHeight="15" x14ac:dyDescent="0.25"/>
  <cols>
    <col min="1" max="1" width="2.42578125" style="3" customWidth="1"/>
    <col min="2" max="2" width="1.7109375" style="3" customWidth="1"/>
    <col min="3" max="7" width="26.7109375" style="3" customWidth="1"/>
    <col min="8" max="11" width="1.7109375" style="3" customWidth="1"/>
    <col min="12" max="12" width="15.7109375" style="3" customWidth="1"/>
    <col min="13" max="17" width="24.7109375" style="3" customWidth="1"/>
    <col min="18" max="19" width="1.7109375" style="3" customWidth="1"/>
    <col min="20" max="57" width="18.7109375" style="3" customWidth="1"/>
    <col min="58" max="16384" width="9.140625" style="3"/>
  </cols>
  <sheetData>
    <row r="1" spans="2:38" ht="15.75" customHeight="1" x14ac:dyDescent="0.25"/>
    <row r="2" spans="2:38" ht="15.75" customHeight="1" thickBot="1" x14ac:dyDescent="0.3"/>
    <row r="3" spans="2:38" ht="15.75" customHeight="1" thickTop="1" x14ac:dyDescent="0.25">
      <c r="B3" s="57"/>
      <c r="C3" s="268" t="s">
        <v>59</v>
      </c>
      <c r="D3" s="268"/>
      <c r="E3" s="268"/>
      <c r="F3" s="268"/>
      <c r="G3" s="192"/>
      <c r="H3" s="58"/>
      <c r="K3" s="57"/>
      <c r="L3" s="12"/>
      <c r="M3" s="12"/>
      <c r="N3" s="12"/>
      <c r="O3" s="12"/>
      <c r="P3" s="12"/>
      <c r="Q3" s="12"/>
      <c r="R3" s="58"/>
    </row>
    <row r="4" spans="2:38" ht="15.75" customHeight="1" thickBot="1" x14ac:dyDescent="0.3">
      <c r="B4" s="14"/>
      <c r="C4" s="269"/>
      <c r="D4" s="269"/>
      <c r="E4" s="269"/>
      <c r="F4" s="269"/>
      <c r="G4" s="193"/>
      <c r="H4" s="59"/>
      <c r="K4" s="14"/>
      <c r="M4" s="60" t="s">
        <v>56</v>
      </c>
      <c r="N4" s="61"/>
      <c r="O4" s="62"/>
      <c r="R4" s="59"/>
    </row>
    <row r="5" spans="2:38" ht="15.75" customHeight="1" x14ac:dyDescent="0.25">
      <c r="B5" s="14"/>
      <c r="C5" s="63" t="s">
        <v>1</v>
      </c>
      <c r="D5" s="63" t="s">
        <v>167</v>
      </c>
      <c r="H5" s="59"/>
      <c r="K5" s="14"/>
      <c r="M5" s="64" t="s">
        <v>58</v>
      </c>
      <c r="N5" s="65"/>
      <c r="O5" s="66"/>
      <c r="R5" s="59"/>
    </row>
    <row r="6" spans="2:38" ht="15.75" thickBot="1" x14ac:dyDescent="0.3">
      <c r="B6" s="14"/>
      <c r="C6" s="55" t="s">
        <v>207</v>
      </c>
      <c r="D6" s="55"/>
      <c r="H6" s="59"/>
      <c r="J6" s="4"/>
      <c r="K6" s="14"/>
      <c r="M6" s="67" t="s">
        <v>57</v>
      </c>
      <c r="N6" s="62"/>
      <c r="O6" s="68" t="s">
        <v>115</v>
      </c>
      <c r="P6" s="68" t="s">
        <v>109</v>
      </c>
      <c r="Q6" s="141"/>
      <c r="R6" s="69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</row>
    <row r="7" spans="2:38" ht="15.75" thickBot="1" x14ac:dyDescent="0.3">
      <c r="B7" s="14"/>
      <c r="H7" s="59"/>
      <c r="J7" s="4"/>
      <c r="K7" s="14"/>
      <c r="M7" s="270" t="s">
        <v>219</v>
      </c>
      <c r="N7" s="271"/>
      <c r="O7" s="68" t="s">
        <v>116</v>
      </c>
      <c r="P7" s="68" t="s">
        <v>117</v>
      </c>
      <c r="Q7" s="147"/>
      <c r="R7" s="69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</row>
    <row r="8" spans="2:38" x14ac:dyDescent="0.25">
      <c r="B8" s="14"/>
      <c r="C8" s="63" t="s">
        <v>61</v>
      </c>
      <c r="D8" s="63" t="s">
        <v>62</v>
      </c>
      <c r="E8" s="63" t="s">
        <v>165</v>
      </c>
      <c r="F8" s="63" t="s">
        <v>166</v>
      </c>
      <c r="G8" s="211"/>
      <c r="H8" s="59"/>
      <c r="J8" s="4"/>
      <c r="K8" s="14"/>
      <c r="R8" s="69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</row>
    <row r="9" spans="2:38" x14ac:dyDescent="0.25">
      <c r="B9" s="14"/>
      <c r="C9" s="56" t="s">
        <v>208</v>
      </c>
      <c r="D9" s="56" t="s">
        <v>212</v>
      </c>
      <c r="E9" s="56"/>
      <c r="F9" s="56"/>
      <c r="G9" s="213"/>
      <c r="H9" s="59"/>
      <c r="J9" s="4"/>
      <c r="K9" s="14"/>
      <c r="M9" s="67" t="s">
        <v>54</v>
      </c>
      <c r="N9" s="62"/>
      <c r="O9" s="68" t="s">
        <v>55</v>
      </c>
      <c r="P9" s="68" t="s">
        <v>109</v>
      </c>
      <c r="Q9" s="68" t="s">
        <v>110</v>
      </c>
      <c r="R9" s="69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</row>
    <row r="10" spans="2:38" x14ac:dyDescent="0.25">
      <c r="B10" s="14"/>
      <c r="C10" s="56" t="s">
        <v>209</v>
      </c>
      <c r="D10" s="56" t="s">
        <v>213</v>
      </c>
      <c r="E10" s="56"/>
      <c r="F10" s="56"/>
      <c r="G10" s="213"/>
      <c r="H10" s="59"/>
      <c r="J10" s="4"/>
      <c r="K10" s="14"/>
      <c r="L10" s="140" t="s">
        <v>0</v>
      </c>
      <c r="M10" s="270" t="s">
        <v>219</v>
      </c>
      <c r="N10" s="271"/>
      <c r="O10" s="93" t="s">
        <v>82</v>
      </c>
      <c r="P10" s="93" t="s">
        <v>113</v>
      </c>
      <c r="Q10" s="93" t="s">
        <v>112</v>
      </c>
      <c r="R10" s="69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</row>
    <row r="11" spans="2:38" x14ac:dyDescent="0.25">
      <c r="B11" s="14"/>
      <c r="C11" s="56" t="s">
        <v>210</v>
      </c>
      <c r="D11" s="56" t="s">
        <v>214</v>
      </c>
      <c r="E11" s="56"/>
      <c r="F11" s="56"/>
      <c r="G11" s="213"/>
      <c r="H11" s="59"/>
      <c r="J11" s="4"/>
      <c r="K11" s="142"/>
      <c r="L11" s="140" t="s">
        <v>35</v>
      </c>
      <c r="M11" s="270" t="s">
        <v>219</v>
      </c>
      <c r="N11" s="271"/>
      <c r="O11" s="93" t="s">
        <v>82</v>
      </c>
      <c r="P11" s="93" t="s">
        <v>111</v>
      </c>
      <c r="Q11" s="93" t="s">
        <v>112</v>
      </c>
      <c r="R11" s="143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</row>
    <row r="12" spans="2:38" x14ac:dyDescent="0.25">
      <c r="B12" s="14"/>
      <c r="C12" s="56" t="s">
        <v>211</v>
      </c>
      <c r="D12" s="56" t="s">
        <v>215</v>
      </c>
      <c r="E12" s="56"/>
      <c r="F12" s="56"/>
      <c r="G12" s="213"/>
      <c r="H12" s="59"/>
      <c r="J12" s="4"/>
      <c r="K12" s="14"/>
      <c r="L12" s="140" t="s">
        <v>83</v>
      </c>
      <c r="M12" s="270" t="s">
        <v>219</v>
      </c>
      <c r="N12" s="271"/>
      <c r="O12" s="93" t="s">
        <v>83</v>
      </c>
      <c r="P12" s="93" t="s">
        <v>114</v>
      </c>
      <c r="Q12" s="93" t="s">
        <v>204</v>
      </c>
      <c r="R12" s="69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</row>
    <row r="13" spans="2:38" ht="15.75" thickBot="1" x14ac:dyDescent="0.3">
      <c r="B13" s="14"/>
      <c r="C13" s="56" t="s">
        <v>220</v>
      </c>
      <c r="D13" s="56" t="s">
        <v>216</v>
      </c>
      <c r="E13" s="56"/>
      <c r="F13" s="56"/>
      <c r="G13" s="213"/>
      <c r="H13" s="59"/>
      <c r="J13" s="4"/>
      <c r="K13" s="71"/>
      <c r="L13" s="74"/>
      <c r="M13" s="72"/>
      <c r="N13" s="72"/>
      <c r="O13" s="72"/>
      <c r="P13" s="72"/>
      <c r="Q13" s="72"/>
      <c r="R13" s="73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</row>
    <row r="14" spans="2:38" ht="16.5" thickTop="1" thickBot="1" x14ac:dyDescent="0.3">
      <c r="B14" s="14"/>
      <c r="C14" s="56" t="s">
        <v>223</v>
      </c>
      <c r="D14" s="56" t="s">
        <v>224</v>
      </c>
      <c r="E14" s="56"/>
      <c r="F14" s="56"/>
      <c r="G14" s="213"/>
      <c r="H14" s="59"/>
      <c r="J14" s="4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</row>
    <row r="15" spans="2:38" ht="16.5" thickTop="1" thickBot="1" x14ac:dyDescent="0.3">
      <c r="B15" s="14"/>
      <c r="C15" s="55" t="s">
        <v>221</v>
      </c>
      <c r="D15" s="55" t="s">
        <v>222</v>
      </c>
      <c r="E15" s="55"/>
      <c r="F15" s="55"/>
      <c r="G15" s="213"/>
      <c r="H15" s="59"/>
      <c r="J15" s="4"/>
      <c r="K15" s="57"/>
      <c r="L15" s="12"/>
      <c r="M15" s="12"/>
      <c r="N15" s="12"/>
      <c r="O15" s="12"/>
      <c r="P15" s="12"/>
      <c r="Q15" s="12"/>
      <c r="R15" s="58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</row>
    <row r="16" spans="2:38" ht="15.75" thickBot="1" x14ac:dyDescent="0.3">
      <c r="B16" s="71"/>
      <c r="C16" s="74"/>
      <c r="D16" s="74"/>
      <c r="E16" s="74"/>
      <c r="F16" s="74"/>
      <c r="G16" s="74"/>
      <c r="H16" s="75"/>
      <c r="J16" s="4"/>
      <c r="K16" s="14"/>
      <c r="L16" s="140" t="s">
        <v>150</v>
      </c>
      <c r="M16" s="272" t="s">
        <v>217</v>
      </c>
      <c r="N16" s="272"/>
      <c r="O16" s="272"/>
      <c r="R16" s="59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</row>
    <row r="17" spans="2:38" ht="16.5" thickTop="1" thickBot="1" x14ac:dyDescent="0.3">
      <c r="J17" s="4"/>
      <c r="K17" s="14"/>
      <c r="L17" s="140" t="s">
        <v>150</v>
      </c>
      <c r="M17" s="273" t="s">
        <v>218</v>
      </c>
      <c r="N17" s="274"/>
      <c r="O17" s="275"/>
      <c r="R17" s="59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</row>
    <row r="18" spans="2:38" ht="15.75" thickTop="1" x14ac:dyDescent="0.25">
      <c r="B18" s="57"/>
      <c r="C18" s="268" t="s">
        <v>60</v>
      </c>
      <c r="D18" s="268"/>
      <c r="E18" s="268"/>
      <c r="F18" s="268"/>
      <c r="G18" s="192"/>
      <c r="H18" s="58"/>
      <c r="J18" s="4"/>
      <c r="K18" s="14"/>
      <c r="L18" s="186"/>
      <c r="M18" s="186"/>
      <c r="N18" s="186"/>
      <c r="O18" s="186"/>
      <c r="P18" s="186"/>
      <c r="Q18" s="186"/>
      <c r="R18" s="69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</row>
    <row r="19" spans="2:38" x14ac:dyDescent="0.25">
      <c r="B19" s="14"/>
      <c r="C19" s="269"/>
      <c r="D19" s="269"/>
      <c r="E19" s="269"/>
      <c r="F19" s="269"/>
      <c r="G19" s="193"/>
      <c r="H19" s="59"/>
      <c r="J19" s="4"/>
      <c r="K19" s="188"/>
      <c r="L19" s="187" t="s">
        <v>157</v>
      </c>
      <c r="M19" s="276" t="s">
        <v>225</v>
      </c>
      <c r="N19" s="277"/>
      <c r="O19" s="278"/>
      <c r="P19" s="186"/>
      <c r="Q19" s="186"/>
      <c r="R19" s="189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</row>
    <row r="20" spans="2:38" ht="15.75" thickBot="1" x14ac:dyDescent="0.3">
      <c r="B20" s="14"/>
      <c r="C20" s="76" t="s">
        <v>3</v>
      </c>
      <c r="D20" s="77" t="s">
        <v>66</v>
      </c>
      <c r="E20" s="78" t="s">
        <v>67</v>
      </c>
      <c r="F20" s="77" t="s">
        <v>168</v>
      </c>
      <c r="G20" s="77" t="s">
        <v>169</v>
      </c>
      <c r="H20" s="59"/>
      <c r="J20" s="4"/>
      <c r="K20" s="190"/>
      <c r="L20" s="184"/>
      <c r="M20" s="184"/>
      <c r="N20" s="184"/>
      <c r="O20" s="184"/>
      <c r="P20" s="184"/>
      <c r="Q20" s="184"/>
      <c r="R20" s="191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</row>
    <row r="21" spans="2:38" ht="16.5" thickTop="1" thickBot="1" x14ac:dyDescent="0.3">
      <c r="B21" s="14"/>
      <c r="C21" s="79">
        <v>0</v>
      </c>
      <c r="D21" s="80" t="s">
        <v>5</v>
      </c>
      <c r="E21" s="81" t="s">
        <v>5</v>
      </c>
      <c r="F21" s="194"/>
      <c r="G21" s="215"/>
      <c r="H21" s="59"/>
      <c r="J21" s="4"/>
      <c r="K21" s="49"/>
      <c r="L21" s="49"/>
      <c r="M21" s="49"/>
      <c r="N21" s="49"/>
      <c r="O21" s="49"/>
      <c r="P21" s="49"/>
      <c r="Q21" s="49"/>
      <c r="R21" s="49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</row>
    <row r="22" spans="2:38" ht="15.75" thickTop="1" x14ac:dyDescent="0.25">
      <c r="B22" s="14"/>
      <c r="C22" s="79">
        <v>1</v>
      </c>
      <c r="D22" s="80" t="s">
        <v>6</v>
      </c>
      <c r="E22" s="81" t="s">
        <v>6</v>
      </c>
      <c r="F22" s="194"/>
      <c r="G22" s="215"/>
      <c r="H22" s="59"/>
      <c r="J22" s="4"/>
      <c r="K22" s="57"/>
      <c r="L22" s="12"/>
      <c r="M22" s="12"/>
      <c r="N22" s="12"/>
      <c r="O22" s="12"/>
      <c r="P22" s="12"/>
      <c r="Q22" s="12"/>
      <c r="R22" s="58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</row>
    <row r="23" spans="2:38" x14ac:dyDescent="0.25">
      <c r="B23" s="14"/>
      <c r="C23" s="79">
        <v>2</v>
      </c>
      <c r="D23" s="82" t="s">
        <v>36</v>
      </c>
      <c r="E23" s="81" t="s">
        <v>8</v>
      </c>
      <c r="F23" s="194"/>
      <c r="G23" s="216"/>
      <c r="H23" s="59"/>
      <c r="J23" s="4"/>
      <c r="K23" s="14"/>
      <c r="L23" s="210"/>
      <c r="M23" s="272"/>
      <c r="N23" s="272"/>
      <c r="O23" s="272"/>
      <c r="R23" s="59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</row>
    <row r="24" spans="2:38" x14ac:dyDescent="0.25">
      <c r="B24" s="14"/>
      <c r="C24" s="79">
        <v>3</v>
      </c>
      <c r="D24" s="82" t="s">
        <v>7</v>
      </c>
      <c r="E24" s="81" t="s">
        <v>7</v>
      </c>
      <c r="F24" s="194"/>
      <c r="G24" s="216"/>
      <c r="H24" s="59"/>
      <c r="J24" s="4"/>
      <c r="K24" s="14"/>
      <c r="L24" s="210"/>
      <c r="M24" s="273"/>
      <c r="N24" s="274"/>
      <c r="O24" s="275"/>
      <c r="R24" s="59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</row>
    <row r="25" spans="2:38" x14ac:dyDescent="0.25">
      <c r="B25" s="14"/>
      <c r="C25" s="79">
        <v>4</v>
      </c>
      <c r="D25" s="82" t="s">
        <v>37</v>
      </c>
      <c r="E25" s="81" t="s">
        <v>9</v>
      </c>
      <c r="F25" s="194"/>
      <c r="G25" s="216"/>
      <c r="H25" s="59"/>
      <c r="J25" s="4"/>
      <c r="K25" s="14"/>
      <c r="L25" s="186"/>
      <c r="M25" s="186"/>
      <c r="N25" s="186"/>
      <c r="O25" s="186"/>
      <c r="P25" s="186"/>
      <c r="Q25" s="186"/>
      <c r="R25" s="69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</row>
    <row r="26" spans="2:38" x14ac:dyDescent="0.25">
      <c r="B26" s="14"/>
      <c r="C26" s="79">
        <v>5</v>
      </c>
      <c r="D26" s="82" t="s">
        <v>38</v>
      </c>
      <c r="E26" s="81" t="s">
        <v>10</v>
      </c>
      <c r="F26" s="194"/>
      <c r="G26" s="216"/>
      <c r="H26" s="59"/>
      <c r="J26" s="4"/>
      <c r="K26" s="188"/>
      <c r="L26" s="210"/>
      <c r="M26" s="276"/>
      <c r="N26" s="277"/>
      <c r="O26" s="278"/>
      <c r="P26" s="186"/>
      <c r="Q26" s="186"/>
      <c r="R26" s="189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</row>
    <row r="27" spans="2:38" ht="15.75" thickBot="1" x14ac:dyDescent="0.3">
      <c r="B27" s="14"/>
      <c r="C27" s="83">
        <v>6</v>
      </c>
      <c r="D27" s="84" t="s">
        <v>11</v>
      </c>
      <c r="E27" s="85" t="s">
        <v>11</v>
      </c>
      <c r="F27" s="217"/>
      <c r="G27" s="218"/>
      <c r="H27" s="59"/>
      <c r="J27" s="4"/>
      <c r="K27" s="190"/>
      <c r="L27" s="184"/>
      <c r="M27" s="184"/>
      <c r="N27" s="184"/>
      <c r="O27" s="184"/>
      <c r="P27" s="184"/>
      <c r="Q27" s="184"/>
      <c r="R27" s="191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</row>
    <row r="28" spans="2:38" ht="16.5" thickTop="1" thickBot="1" x14ac:dyDescent="0.3">
      <c r="B28" s="71"/>
      <c r="C28" s="74"/>
      <c r="D28" s="74"/>
      <c r="E28" s="74"/>
      <c r="F28" s="74"/>
      <c r="G28" s="74"/>
      <c r="H28" s="75"/>
      <c r="J28" s="4"/>
      <c r="O28" s="4"/>
      <c r="P28" s="4"/>
      <c r="Q28" s="4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</row>
    <row r="29" spans="2:38" ht="16.5" thickTop="1" thickBot="1" x14ac:dyDescent="0.3">
      <c r="J29" s="4"/>
      <c r="Y29" s="4"/>
      <c r="Z29" s="4"/>
      <c r="AA29" s="4"/>
      <c r="AB29" s="4"/>
      <c r="AC29" s="4"/>
      <c r="AD29" s="4"/>
      <c r="AE29" s="4"/>
    </row>
    <row r="30" spans="2:38" ht="15.75" thickTop="1" x14ac:dyDescent="0.25">
      <c r="B30" s="57"/>
      <c r="C30" s="268" t="s">
        <v>64</v>
      </c>
      <c r="D30" s="268"/>
      <c r="E30" s="268"/>
      <c r="F30" s="268"/>
      <c r="G30" s="192"/>
      <c r="H30" s="58"/>
      <c r="J30" s="4"/>
      <c r="Y30" s="4"/>
      <c r="Z30" s="4"/>
      <c r="AA30" s="4"/>
      <c r="AB30" s="4"/>
      <c r="AC30" s="4"/>
      <c r="AD30" s="4"/>
      <c r="AE30" s="4"/>
    </row>
    <row r="31" spans="2:38" x14ac:dyDescent="0.25">
      <c r="B31" s="14"/>
      <c r="C31" s="269"/>
      <c r="D31" s="269"/>
      <c r="E31" s="269"/>
      <c r="F31" s="269"/>
      <c r="G31" s="193"/>
      <c r="H31" s="59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  <row r="32" spans="2:38" x14ac:dyDescent="0.25">
      <c r="B32" s="14"/>
      <c r="C32" s="66" t="s">
        <v>65</v>
      </c>
      <c r="D32" s="86" t="s">
        <v>68</v>
      </c>
      <c r="E32" s="214" t="s">
        <v>170</v>
      </c>
      <c r="H32" s="59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</row>
    <row r="33" spans="2:31" x14ac:dyDescent="0.25">
      <c r="B33" s="14"/>
      <c r="C33" s="87" t="s">
        <v>13</v>
      </c>
      <c r="D33" s="88" t="s">
        <v>69</v>
      </c>
      <c r="E33" s="93"/>
      <c r="H33" s="59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</row>
    <row r="34" spans="2:31" x14ac:dyDescent="0.25">
      <c r="B34" s="14"/>
      <c r="C34" s="87" t="s">
        <v>20</v>
      </c>
      <c r="D34" s="88" t="s">
        <v>70</v>
      </c>
      <c r="E34" s="93"/>
      <c r="H34" s="59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</row>
    <row r="35" spans="2:31" x14ac:dyDescent="0.25">
      <c r="B35" s="14"/>
      <c r="C35" s="87" t="s">
        <v>19</v>
      </c>
      <c r="D35" s="88" t="s">
        <v>71</v>
      </c>
      <c r="E35" s="93"/>
      <c r="H35" s="59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</row>
    <row r="36" spans="2:31" x14ac:dyDescent="0.25">
      <c r="B36" s="14"/>
      <c r="C36" s="87" t="s">
        <v>14</v>
      </c>
      <c r="D36" s="88" t="s">
        <v>72</v>
      </c>
      <c r="E36" s="93"/>
      <c r="H36" s="59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</row>
    <row r="37" spans="2:31" x14ac:dyDescent="0.25">
      <c r="B37" s="14"/>
      <c r="C37" s="87" t="s">
        <v>15</v>
      </c>
      <c r="D37" s="88" t="s">
        <v>73</v>
      </c>
      <c r="E37" s="93"/>
      <c r="H37" s="59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</row>
    <row r="38" spans="2:31" x14ac:dyDescent="0.25">
      <c r="B38" s="14"/>
      <c r="C38" s="87" t="s">
        <v>17</v>
      </c>
      <c r="D38" s="88" t="s">
        <v>74</v>
      </c>
      <c r="E38" s="93"/>
      <c r="H38" s="59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</row>
    <row r="39" spans="2:31" x14ac:dyDescent="0.25">
      <c r="B39" s="14"/>
      <c r="C39" s="87" t="s">
        <v>16</v>
      </c>
      <c r="D39" s="88" t="s">
        <v>75</v>
      </c>
      <c r="E39" s="93"/>
      <c r="H39" s="59"/>
      <c r="J39" s="4"/>
      <c r="K39" s="4"/>
      <c r="L39" s="4"/>
      <c r="M39" s="4"/>
      <c r="N39" s="4"/>
      <c r="O39" s="4"/>
      <c r="P39" s="4"/>
      <c r="Q39" s="4"/>
      <c r="R39" s="89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</row>
    <row r="40" spans="2:31" x14ac:dyDescent="0.25">
      <c r="B40" s="14"/>
      <c r="C40" s="62" t="s">
        <v>18</v>
      </c>
      <c r="D40" s="60" t="s">
        <v>76</v>
      </c>
      <c r="E40" s="219"/>
      <c r="H40" s="59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</row>
    <row r="41" spans="2:31" ht="15.75" thickBot="1" x14ac:dyDescent="0.3">
      <c r="B41" s="71"/>
      <c r="C41" s="74"/>
      <c r="D41" s="74"/>
      <c r="E41" s="74"/>
      <c r="F41" s="74"/>
      <c r="G41" s="74"/>
      <c r="H41" s="75"/>
      <c r="J41" s="4"/>
      <c r="K41" s="4"/>
      <c r="L41" s="4"/>
      <c r="M41" s="4"/>
      <c r="O41" s="4"/>
      <c r="P41" s="4"/>
      <c r="Q41" s="4"/>
      <c r="V41" s="4"/>
      <c r="W41" s="4"/>
      <c r="X41" s="4"/>
      <c r="Y41" s="4"/>
      <c r="Z41" s="4"/>
      <c r="AA41" s="4"/>
      <c r="AB41" s="4"/>
      <c r="AC41" s="4"/>
      <c r="AD41" s="4"/>
      <c r="AE41" s="4"/>
    </row>
    <row r="42" spans="2:31" ht="16.5" thickTop="1" thickBot="1" x14ac:dyDescent="0.3">
      <c r="J42" s="4"/>
      <c r="K42" s="4"/>
      <c r="L42" s="4"/>
      <c r="M42" s="4"/>
      <c r="O42" s="4"/>
      <c r="P42" s="4"/>
      <c r="Q42" s="4"/>
      <c r="V42" s="4"/>
      <c r="W42" s="4"/>
      <c r="X42" s="4"/>
      <c r="Y42" s="4"/>
      <c r="Z42" s="4"/>
      <c r="AA42" s="4"/>
      <c r="AB42" s="4"/>
      <c r="AC42" s="4"/>
      <c r="AD42" s="4"/>
      <c r="AE42" s="4"/>
    </row>
    <row r="43" spans="2:31" ht="15.75" thickTop="1" x14ac:dyDescent="0.25">
      <c r="B43" s="57"/>
      <c r="C43" s="268" t="s">
        <v>77</v>
      </c>
      <c r="D43" s="268"/>
      <c r="E43" s="268"/>
      <c r="F43" s="268"/>
      <c r="G43" s="192"/>
      <c r="H43" s="58"/>
      <c r="J43" s="4"/>
      <c r="K43" s="4"/>
      <c r="L43" s="4"/>
      <c r="M43" s="4"/>
      <c r="O43" s="4"/>
      <c r="P43" s="4"/>
      <c r="Q43" s="4"/>
      <c r="V43" s="4"/>
      <c r="W43" s="4"/>
      <c r="X43" s="4"/>
      <c r="Y43" s="4"/>
      <c r="Z43" s="4"/>
      <c r="AA43" s="4"/>
      <c r="AB43" s="4"/>
      <c r="AC43" s="4"/>
      <c r="AD43" s="4"/>
      <c r="AE43" s="4"/>
    </row>
    <row r="44" spans="2:31" x14ac:dyDescent="0.25">
      <c r="B44" s="14"/>
      <c r="C44" s="269"/>
      <c r="D44" s="269"/>
      <c r="E44" s="269"/>
      <c r="F44" s="269"/>
      <c r="G44" s="193"/>
      <c r="H44" s="59"/>
      <c r="J44" s="4"/>
      <c r="K44" s="4"/>
      <c r="L44" s="4"/>
      <c r="M44" s="4"/>
      <c r="O44" s="4"/>
      <c r="P44" s="4"/>
      <c r="Q44" s="4"/>
      <c r="V44" s="4"/>
      <c r="W44" s="4"/>
      <c r="X44" s="4"/>
      <c r="Y44" s="4"/>
      <c r="Z44" s="4"/>
      <c r="AA44" s="4"/>
      <c r="AB44" s="4"/>
      <c r="AC44" s="4"/>
      <c r="AD44" s="4"/>
      <c r="AE44" s="4"/>
    </row>
    <row r="45" spans="2:31" x14ac:dyDescent="0.25">
      <c r="B45" s="14"/>
      <c r="C45" s="65" t="s">
        <v>78</v>
      </c>
      <c r="D45" s="86" t="s">
        <v>171</v>
      </c>
      <c r="H45" s="59"/>
      <c r="J45" s="4"/>
      <c r="K45" s="4"/>
      <c r="L45" s="4"/>
      <c r="M45" s="4"/>
      <c r="O45" s="4"/>
      <c r="P45" s="4"/>
      <c r="Q45" s="4"/>
      <c r="V45" s="4"/>
      <c r="W45" s="4"/>
      <c r="X45" s="4"/>
      <c r="Y45" s="4"/>
      <c r="Z45" s="4"/>
      <c r="AA45" s="4"/>
      <c r="AB45" s="4"/>
      <c r="AC45" s="4"/>
      <c r="AD45" s="4"/>
      <c r="AE45" s="4"/>
    </row>
    <row r="46" spans="2:31" x14ac:dyDescent="0.25">
      <c r="B46" s="14"/>
      <c r="C46" s="94" t="s">
        <v>86</v>
      </c>
      <c r="D46" s="220"/>
      <c r="H46" s="59"/>
      <c r="J46" s="4"/>
      <c r="K46" s="4"/>
      <c r="L46" s="4"/>
      <c r="M46" s="4"/>
      <c r="O46" s="4"/>
      <c r="P46" s="4"/>
      <c r="Q46" s="4"/>
      <c r="V46" s="4"/>
      <c r="W46" s="4"/>
      <c r="X46" s="4"/>
      <c r="Y46" s="4"/>
      <c r="Z46" s="4"/>
      <c r="AA46" s="4"/>
      <c r="AB46" s="4"/>
      <c r="AC46" s="4"/>
      <c r="AD46" s="4"/>
      <c r="AE46" s="4"/>
    </row>
    <row r="47" spans="2:31" x14ac:dyDescent="0.25">
      <c r="B47" s="14"/>
      <c r="C47" s="94" t="s">
        <v>85</v>
      </c>
      <c r="D47" s="221"/>
      <c r="H47" s="59"/>
      <c r="J47" s="4"/>
      <c r="K47" s="4"/>
      <c r="L47" s="4"/>
      <c r="M47" s="4"/>
      <c r="O47" s="4"/>
      <c r="P47" s="4"/>
      <c r="Q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</row>
    <row r="48" spans="2:31" x14ac:dyDescent="0.25">
      <c r="B48" s="14"/>
      <c r="C48" s="94" t="s">
        <v>87</v>
      </c>
      <c r="D48" s="221"/>
      <c r="H48" s="59"/>
      <c r="J48" s="4"/>
      <c r="K48" s="4"/>
      <c r="L48" s="4"/>
      <c r="M48" s="4"/>
      <c r="O48" s="4"/>
      <c r="P48" s="4"/>
      <c r="Q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</row>
    <row r="49" spans="2:31" x14ac:dyDescent="0.25">
      <c r="B49" s="14"/>
      <c r="C49" s="94" t="s">
        <v>88</v>
      </c>
      <c r="D49" s="221"/>
      <c r="H49" s="59"/>
      <c r="J49" s="4"/>
      <c r="K49" s="4"/>
      <c r="L49" s="4"/>
      <c r="M49" s="4"/>
      <c r="O49" s="4"/>
      <c r="P49" s="4"/>
      <c r="Q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</row>
    <row r="50" spans="2:31" x14ac:dyDescent="0.25">
      <c r="B50" s="14"/>
      <c r="C50" s="61" t="s">
        <v>89</v>
      </c>
      <c r="D50" s="222"/>
      <c r="H50" s="59"/>
      <c r="J50" s="4"/>
      <c r="K50" s="4"/>
      <c r="L50" s="4"/>
      <c r="M50" s="4"/>
      <c r="O50" s="4"/>
      <c r="P50" s="4"/>
      <c r="Q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</row>
    <row r="51" spans="2:31" ht="15.75" thickBot="1" x14ac:dyDescent="0.3">
      <c r="B51" s="71"/>
      <c r="C51" s="74"/>
      <c r="D51" s="74"/>
      <c r="E51" s="74"/>
      <c r="F51" s="74"/>
      <c r="G51" s="74"/>
      <c r="H51" s="75"/>
      <c r="J51" s="4"/>
      <c r="K51" s="4"/>
      <c r="L51" s="4"/>
      <c r="M51" s="4"/>
      <c r="O51" s="4"/>
      <c r="P51" s="4"/>
      <c r="Q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</row>
    <row r="52" spans="2:31" ht="16.5" thickTop="1" thickBot="1" x14ac:dyDescent="0.3">
      <c r="J52" s="4"/>
      <c r="K52" s="4"/>
      <c r="L52" s="4"/>
      <c r="M52" s="4"/>
      <c r="O52" s="4"/>
      <c r="P52" s="4"/>
      <c r="Q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</row>
    <row r="53" spans="2:31" ht="15.75" thickTop="1" x14ac:dyDescent="0.25">
      <c r="B53" s="57"/>
      <c r="C53" s="268" t="s">
        <v>63</v>
      </c>
      <c r="D53" s="268"/>
      <c r="E53" s="268"/>
      <c r="F53" s="268"/>
      <c r="G53" s="192"/>
      <c r="H53" s="58"/>
      <c r="J53" s="4"/>
      <c r="K53" s="4"/>
      <c r="L53" s="4"/>
      <c r="M53" s="4"/>
      <c r="O53" s="4"/>
      <c r="P53" s="4"/>
      <c r="Q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</row>
    <row r="54" spans="2:31" x14ac:dyDescent="0.25">
      <c r="B54" s="14"/>
      <c r="C54" s="269"/>
      <c r="D54" s="269"/>
      <c r="E54" s="269"/>
      <c r="F54" s="269"/>
      <c r="G54" s="193"/>
      <c r="H54" s="59"/>
      <c r="J54" s="4"/>
      <c r="K54" s="4"/>
      <c r="L54" s="4"/>
      <c r="M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</row>
    <row r="55" spans="2:31" x14ac:dyDescent="0.25">
      <c r="B55" s="14"/>
      <c r="C55" s="65" t="s">
        <v>78</v>
      </c>
      <c r="D55" s="86" t="s">
        <v>171</v>
      </c>
      <c r="H55" s="59"/>
      <c r="J55" s="4"/>
      <c r="K55" s="4"/>
      <c r="L55" s="4"/>
      <c r="M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</row>
    <row r="56" spans="2:31" x14ac:dyDescent="0.25">
      <c r="B56" s="14"/>
      <c r="C56" s="94" t="s">
        <v>4</v>
      </c>
      <c r="D56" s="220"/>
      <c r="H56" s="59"/>
      <c r="J56" s="4"/>
      <c r="K56" s="4"/>
      <c r="L56" s="4"/>
      <c r="M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</row>
    <row r="57" spans="2:31" x14ac:dyDescent="0.25">
      <c r="B57" s="14"/>
      <c r="C57" s="94" t="s">
        <v>23</v>
      </c>
      <c r="D57" s="221"/>
      <c r="H57" s="59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</row>
    <row r="58" spans="2:31" x14ac:dyDescent="0.25">
      <c r="B58" s="14"/>
      <c r="C58" s="94" t="s">
        <v>24</v>
      </c>
      <c r="D58" s="221"/>
      <c r="H58" s="59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</row>
    <row r="59" spans="2:31" x14ac:dyDescent="0.25">
      <c r="B59" s="14"/>
      <c r="C59" s="94" t="s">
        <v>25</v>
      </c>
      <c r="D59" s="221"/>
      <c r="H59" s="59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</row>
    <row r="60" spans="2:31" x14ac:dyDescent="0.25">
      <c r="B60" s="14"/>
      <c r="C60" s="94" t="s">
        <v>26</v>
      </c>
      <c r="D60" s="221"/>
      <c r="H60" s="59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</row>
    <row r="61" spans="2:31" x14ac:dyDescent="0.25">
      <c r="B61" s="14"/>
      <c r="C61" s="94" t="s">
        <v>27</v>
      </c>
      <c r="D61" s="221"/>
      <c r="H61" s="59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</row>
    <row r="62" spans="2:31" x14ac:dyDescent="0.25">
      <c r="B62" s="14"/>
      <c r="C62" s="94" t="s">
        <v>28</v>
      </c>
      <c r="D62" s="221"/>
      <c r="H62" s="59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</row>
    <row r="63" spans="2:31" x14ac:dyDescent="0.25">
      <c r="B63" s="14"/>
      <c r="C63" s="94" t="s">
        <v>29</v>
      </c>
      <c r="D63" s="221"/>
      <c r="H63" s="59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</row>
    <row r="64" spans="2:31" x14ac:dyDescent="0.25">
      <c r="B64" s="14"/>
      <c r="C64" s="94" t="s">
        <v>30</v>
      </c>
      <c r="D64" s="221"/>
      <c r="H64" s="59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</row>
    <row r="65" spans="2:31" x14ac:dyDescent="0.25">
      <c r="B65" s="14"/>
      <c r="C65" s="94" t="s">
        <v>31</v>
      </c>
      <c r="D65" s="221"/>
      <c r="H65" s="59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</row>
    <row r="66" spans="2:31" x14ac:dyDescent="0.25">
      <c r="B66" s="14"/>
      <c r="C66" s="61" t="s">
        <v>32</v>
      </c>
      <c r="D66" s="222"/>
      <c r="H66" s="59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</row>
    <row r="67" spans="2:31" ht="15.75" thickBot="1" x14ac:dyDescent="0.3">
      <c r="B67" s="71"/>
      <c r="C67" s="74"/>
      <c r="D67" s="74"/>
      <c r="E67" s="74"/>
      <c r="F67" s="74"/>
      <c r="G67" s="74"/>
      <c r="H67" s="75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</row>
    <row r="68" spans="2:31" ht="16.5" thickTop="1" thickBot="1" x14ac:dyDescent="0.3"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</row>
    <row r="69" spans="2:31" ht="15.75" thickTop="1" x14ac:dyDescent="0.25">
      <c r="B69" s="57"/>
      <c r="C69" s="268" t="s">
        <v>81</v>
      </c>
      <c r="D69" s="268"/>
      <c r="E69" s="268"/>
      <c r="F69" s="268"/>
      <c r="G69" s="192"/>
      <c r="H69" s="58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</row>
    <row r="70" spans="2:31" x14ac:dyDescent="0.25">
      <c r="B70" s="14"/>
      <c r="C70" s="279"/>
      <c r="D70" s="279"/>
      <c r="E70" s="279"/>
      <c r="F70" s="279"/>
      <c r="G70" s="193"/>
      <c r="H70" s="59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</row>
    <row r="71" spans="2:31" ht="15.75" thickBot="1" x14ac:dyDescent="0.3">
      <c r="B71" s="14"/>
      <c r="C71" s="90" t="s">
        <v>2</v>
      </c>
      <c r="D71" s="90" t="s">
        <v>52</v>
      </c>
      <c r="E71" s="90" t="s">
        <v>79</v>
      </c>
      <c r="F71" s="90" t="s">
        <v>80</v>
      </c>
      <c r="G71" s="211"/>
      <c r="H71" s="59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</row>
    <row r="72" spans="2:31" ht="15.75" thickBot="1" x14ac:dyDescent="0.3">
      <c r="B72" s="14"/>
      <c r="C72" s="108" t="str">
        <f>C46</f>
        <v xml:space="preserve"> Ясно</v>
      </c>
      <c r="D72" s="109" t="str">
        <f>C56</f>
        <v>Без осадков</v>
      </c>
      <c r="E72" s="109" t="s">
        <v>172</v>
      </c>
      <c r="F72" s="110" t="s">
        <v>176</v>
      </c>
      <c r="G72" s="212"/>
      <c r="H72" s="59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</row>
    <row r="73" spans="2:31" x14ac:dyDescent="0.25">
      <c r="B73" s="14"/>
      <c r="C73" s="111" t="str">
        <f>C47</f>
        <v xml:space="preserve"> Небольшая облачность</v>
      </c>
      <c r="D73" s="112" t="str">
        <f>C56</f>
        <v>Без осадков</v>
      </c>
      <c r="E73" s="112" t="s">
        <v>173</v>
      </c>
      <c r="F73" s="113" t="s">
        <v>177</v>
      </c>
      <c r="G73" s="212"/>
      <c r="H73" s="59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</row>
    <row r="74" spans="2:31" x14ac:dyDescent="0.25">
      <c r="B74" s="14"/>
      <c r="C74" s="114" t="str">
        <f>C48</f>
        <v xml:space="preserve"> Переменная облачность</v>
      </c>
      <c r="D74" s="115" t="str">
        <f>C56</f>
        <v>Без осадков</v>
      </c>
      <c r="E74" s="115" t="s">
        <v>174</v>
      </c>
      <c r="F74" s="116" t="s">
        <v>178</v>
      </c>
      <c r="G74" s="212"/>
      <c r="H74" s="59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</row>
    <row r="75" spans="2:31" x14ac:dyDescent="0.25">
      <c r="B75" s="14"/>
      <c r="C75" s="114" t="str">
        <f>C49</f>
        <v xml:space="preserve"> Облачно с прояснениями</v>
      </c>
      <c r="D75" s="115" t="str">
        <f>C56</f>
        <v>Без осадков</v>
      </c>
      <c r="E75" s="115" t="s">
        <v>174</v>
      </c>
      <c r="F75" s="116" t="s">
        <v>178</v>
      </c>
      <c r="G75" s="212"/>
      <c r="H75" s="59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</row>
    <row r="76" spans="2:31" ht="15.75" thickBot="1" x14ac:dyDescent="0.3">
      <c r="B76" s="14"/>
      <c r="C76" s="117" t="str">
        <f>C50</f>
        <v xml:space="preserve"> Облачно</v>
      </c>
      <c r="D76" s="118" t="str">
        <f t="shared" ref="D76:D86" si="0">C56</f>
        <v>Без осадков</v>
      </c>
      <c r="E76" s="118" t="s">
        <v>175</v>
      </c>
      <c r="F76" s="119" t="s">
        <v>175</v>
      </c>
      <c r="G76" s="212"/>
      <c r="H76" s="59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</row>
    <row r="77" spans="2:31" x14ac:dyDescent="0.25">
      <c r="B77" s="14"/>
      <c r="C77" s="111" t="str">
        <f>C47</f>
        <v xml:space="preserve"> Небольшая облачность</v>
      </c>
      <c r="D77" s="112" t="str">
        <f t="shared" si="0"/>
        <v>Слабый дождь</v>
      </c>
      <c r="E77" s="112" t="s">
        <v>179</v>
      </c>
      <c r="F77" s="113" t="s">
        <v>187</v>
      </c>
      <c r="G77" s="212" t="s">
        <v>195</v>
      </c>
      <c r="H77" s="59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</row>
    <row r="78" spans="2:31" x14ac:dyDescent="0.25">
      <c r="B78" s="14"/>
      <c r="C78" s="114" t="str">
        <f>C47</f>
        <v xml:space="preserve"> Небольшая облачность</v>
      </c>
      <c r="D78" s="115" t="str">
        <f t="shared" si="0"/>
        <v>Дождь</v>
      </c>
      <c r="E78" s="115" t="s">
        <v>180</v>
      </c>
      <c r="F78" s="116" t="s">
        <v>188</v>
      </c>
      <c r="G78" s="212" t="s">
        <v>195</v>
      </c>
      <c r="H78" s="59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</row>
    <row r="79" spans="2:31" x14ac:dyDescent="0.25">
      <c r="B79" s="14"/>
      <c r="C79" s="114" t="str">
        <f>C47</f>
        <v xml:space="preserve"> Небольшая облачность</v>
      </c>
      <c r="D79" s="115" t="str">
        <f t="shared" si="0"/>
        <v>Сильный дождь</v>
      </c>
      <c r="E79" s="115" t="s">
        <v>181</v>
      </c>
      <c r="F79" s="116" t="s">
        <v>189</v>
      </c>
      <c r="G79" s="212" t="s">
        <v>195</v>
      </c>
      <c r="H79" s="59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</row>
    <row r="80" spans="2:31" x14ac:dyDescent="0.25">
      <c r="B80" s="14"/>
      <c r="C80" s="114" t="str">
        <f>C47</f>
        <v xml:space="preserve"> Небольшая облачность</v>
      </c>
      <c r="D80" s="115" t="str">
        <f t="shared" si="0"/>
        <v>Слабый снег</v>
      </c>
      <c r="E80" s="115" t="s">
        <v>182</v>
      </c>
      <c r="F80" s="116" t="s">
        <v>190</v>
      </c>
      <c r="G80" s="212" t="s">
        <v>195</v>
      </c>
      <c r="H80" s="59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</row>
    <row r="81" spans="2:55" x14ac:dyDescent="0.25">
      <c r="B81" s="14"/>
      <c r="C81" s="114" t="str">
        <f>C47</f>
        <v xml:space="preserve"> Небольшая облачность</v>
      </c>
      <c r="D81" s="115" t="str">
        <f t="shared" si="0"/>
        <v>Снег</v>
      </c>
      <c r="E81" s="115" t="s">
        <v>183</v>
      </c>
      <c r="F81" s="116" t="s">
        <v>191</v>
      </c>
      <c r="G81" s="212" t="s">
        <v>195</v>
      </c>
      <c r="H81" s="59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</row>
    <row r="82" spans="2:55" x14ac:dyDescent="0.25">
      <c r="B82" s="14"/>
      <c r="C82" s="114" t="str">
        <f>C47</f>
        <v xml:space="preserve"> Небольшая облачность</v>
      </c>
      <c r="D82" s="115" t="str">
        <f t="shared" si="0"/>
        <v>Сильный снег</v>
      </c>
      <c r="E82" s="115" t="s">
        <v>184</v>
      </c>
      <c r="F82" s="116" t="s">
        <v>192</v>
      </c>
      <c r="G82" s="212" t="s">
        <v>195</v>
      </c>
      <c r="H82" s="59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</row>
    <row r="83" spans="2:55" x14ac:dyDescent="0.25">
      <c r="B83" s="14"/>
      <c r="C83" s="114" t="str">
        <f>C47</f>
        <v xml:space="preserve"> Небольшая облачность</v>
      </c>
      <c r="D83" s="115" t="str">
        <f t="shared" si="0"/>
        <v>Слабый снег с дождем</v>
      </c>
      <c r="E83" s="115" t="s">
        <v>185</v>
      </c>
      <c r="F83" s="116" t="s">
        <v>193</v>
      </c>
      <c r="G83" s="212" t="s">
        <v>195</v>
      </c>
      <c r="H83" s="59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</row>
    <row r="84" spans="2:55" x14ac:dyDescent="0.25">
      <c r="B84" s="14"/>
      <c r="C84" s="114" t="str">
        <f>C47</f>
        <v xml:space="preserve"> Небольшая облачность</v>
      </c>
      <c r="D84" s="115" t="str">
        <f t="shared" si="0"/>
        <v>Снег с дождем</v>
      </c>
      <c r="E84" s="115" t="s">
        <v>185</v>
      </c>
      <c r="F84" s="116" t="s">
        <v>193</v>
      </c>
      <c r="G84" s="212" t="s">
        <v>195</v>
      </c>
      <c r="H84" s="59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2:55" x14ac:dyDescent="0.25">
      <c r="B85" s="14"/>
      <c r="C85" s="114" t="str">
        <f>C47</f>
        <v xml:space="preserve"> Небольшая облачность</v>
      </c>
      <c r="D85" s="115" t="str">
        <f t="shared" si="0"/>
        <v>Сильный снег с дождем</v>
      </c>
      <c r="E85" s="115" t="s">
        <v>185</v>
      </c>
      <c r="F85" s="116" t="s">
        <v>193</v>
      </c>
      <c r="G85" s="212" t="s">
        <v>195</v>
      </c>
      <c r="H85" s="59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2:55" ht="15.75" thickBot="1" x14ac:dyDescent="0.3">
      <c r="B86" s="14"/>
      <c r="C86" s="117" t="str">
        <f>C47</f>
        <v xml:space="preserve"> Небольшая облачность</v>
      </c>
      <c r="D86" s="118" t="str">
        <f t="shared" si="0"/>
        <v>Гроза</v>
      </c>
      <c r="E86" s="118" t="s">
        <v>186</v>
      </c>
      <c r="F86" s="119" t="s">
        <v>194</v>
      </c>
      <c r="G86" s="212" t="s">
        <v>195</v>
      </c>
      <c r="H86" s="59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</row>
    <row r="87" spans="2:55" x14ac:dyDescent="0.25">
      <c r="B87" s="14"/>
      <c r="C87" s="111" t="str">
        <f>C48</f>
        <v xml:space="preserve"> Переменная облачность</v>
      </c>
      <c r="D87" s="112" t="str">
        <f t="shared" ref="D87:D96" si="1">C57</f>
        <v>Слабый дождь</v>
      </c>
      <c r="E87" s="112" t="s">
        <v>179</v>
      </c>
      <c r="F87" s="113" t="s">
        <v>187</v>
      </c>
      <c r="G87" s="212" t="s">
        <v>195</v>
      </c>
      <c r="H87" s="59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</row>
    <row r="88" spans="2:55" x14ac:dyDescent="0.25">
      <c r="B88" s="14"/>
      <c r="C88" s="114" t="str">
        <f>C48</f>
        <v xml:space="preserve"> Переменная облачность</v>
      </c>
      <c r="D88" s="115" t="str">
        <f t="shared" si="1"/>
        <v>Дождь</v>
      </c>
      <c r="E88" s="115" t="s">
        <v>180</v>
      </c>
      <c r="F88" s="116" t="s">
        <v>188</v>
      </c>
      <c r="G88" s="212" t="s">
        <v>195</v>
      </c>
      <c r="H88" s="59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</row>
    <row r="89" spans="2:55" x14ac:dyDescent="0.25">
      <c r="B89" s="14"/>
      <c r="C89" s="114" t="str">
        <f>C48</f>
        <v xml:space="preserve"> Переменная облачность</v>
      </c>
      <c r="D89" s="115" t="str">
        <f t="shared" si="1"/>
        <v>Сильный дождь</v>
      </c>
      <c r="E89" s="115" t="s">
        <v>181</v>
      </c>
      <c r="F89" s="116" t="s">
        <v>189</v>
      </c>
      <c r="G89" s="212" t="s">
        <v>195</v>
      </c>
      <c r="H89" s="59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</row>
    <row r="90" spans="2:55" x14ac:dyDescent="0.25">
      <c r="B90" s="14"/>
      <c r="C90" s="114" t="str">
        <f>C48</f>
        <v xml:space="preserve"> Переменная облачность</v>
      </c>
      <c r="D90" s="115" t="str">
        <f t="shared" si="1"/>
        <v>Слабый снег</v>
      </c>
      <c r="E90" s="115" t="s">
        <v>182</v>
      </c>
      <c r="F90" s="116" t="s">
        <v>190</v>
      </c>
      <c r="G90" s="212" t="s">
        <v>195</v>
      </c>
      <c r="H90" s="59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</row>
    <row r="91" spans="2:55" x14ac:dyDescent="0.25">
      <c r="B91" s="14"/>
      <c r="C91" s="114" t="str">
        <f>C48</f>
        <v xml:space="preserve"> Переменная облачность</v>
      </c>
      <c r="D91" s="115" t="str">
        <f t="shared" si="1"/>
        <v>Снег</v>
      </c>
      <c r="E91" s="115" t="s">
        <v>183</v>
      </c>
      <c r="F91" s="116" t="s">
        <v>191</v>
      </c>
      <c r="G91" s="212" t="s">
        <v>195</v>
      </c>
      <c r="H91" s="59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</row>
    <row r="92" spans="2:55" x14ac:dyDescent="0.25">
      <c r="B92" s="91"/>
      <c r="C92" s="114" t="str">
        <f>C48</f>
        <v xml:space="preserve"> Переменная облачность</v>
      </c>
      <c r="D92" s="115" t="str">
        <f t="shared" si="1"/>
        <v>Сильный снег</v>
      </c>
      <c r="E92" s="115" t="s">
        <v>184</v>
      </c>
      <c r="F92" s="116" t="s">
        <v>192</v>
      </c>
      <c r="G92" s="212" t="s">
        <v>195</v>
      </c>
      <c r="H92" s="59"/>
      <c r="J92" s="4"/>
      <c r="K92" s="4"/>
      <c r="L92" s="4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</row>
    <row r="93" spans="2:55" x14ac:dyDescent="0.25">
      <c r="B93" s="91"/>
      <c r="C93" s="114" t="str">
        <f>C48</f>
        <v xml:space="preserve"> Переменная облачность</v>
      </c>
      <c r="D93" s="115" t="str">
        <f t="shared" si="1"/>
        <v>Слабый снег с дождем</v>
      </c>
      <c r="E93" s="115" t="s">
        <v>185</v>
      </c>
      <c r="F93" s="116" t="s">
        <v>193</v>
      </c>
      <c r="G93" s="212" t="s">
        <v>195</v>
      </c>
      <c r="H93" s="59"/>
      <c r="J93" s="4"/>
      <c r="K93" s="4"/>
      <c r="L93" s="4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</row>
    <row r="94" spans="2:55" x14ac:dyDescent="0.25">
      <c r="B94" s="91"/>
      <c r="C94" s="114" t="str">
        <f>C48</f>
        <v xml:space="preserve"> Переменная облачность</v>
      </c>
      <c r="D94" s="115" t="str">
        <f t="shared" si="1"/>
        <v>Снег с дождем</v>
      </c>
      <c r="E94" s="115" t="s">
        <v>185</v>
      </c>
      <c r="F94" s="116" t="s">
        <v>193</v>
      </c>
      <c r="G94" s="212" t="s">
        <v>195</v>
      </c>
      <c r="H94" s="59"/>
      <c r="J94" s="4"/>
      <c r="K94" s="4"/>
      <c r="L94" s="4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</row>
    <row r="95" spans="2:55" x14ac:dyDescent="0.25">
      <c r="B95" s="91"/>
      <c r="C95" s="114" t="str">
        <f>C48</f>
        <v xml:space="preserve"> Переменная облачность</v>
      </c>
      <c r="D95" s="115" t="str">
        <f t="shared" si="1"/>
        <v>Сильный снег с дождем</v>
      </c>
      <c r="E95" s="115" t="s">
        <v>185</v>
      </c>
      <c r="F95" s="116" t="s">
        <v>193</v>
      </c>
      <c r="G95" s="212" t="s">
        <v>195</v>
      </c>
      <c r="H95" s="59"/>
      <c r="J95" s="4"/>
      <c r="K95" s="4"/>
      <c r="L95" s="4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</row>
    <row r="96" spans="2:55" ht="15.75" thickBot="1" x14ac:dyDescent="0.3">
      <c r="B96" s="91"/>
      <c r="C96" s="117" t="str">
        <f>C48</f>
        <v xml:space="preserve"> Переменная облачность</v>
      </c>
      <c r="D96" s="118" t="str">
        <f t="shared" si="1"/>
        <v>Гроза</v>
      </c>
      <c r="E96" s="118" t="s">
        <v>186</v>
      </c>
      <c r="F96" s="119" t="s">
        <v>194</v>
      </c>
      <c r="G96" s="212" t="s">
        <v>195</v>
      </c>
      <c r="H96" s="59"/>
      <c r="J96" s="4"/>
      <c r="K96" s="4"/>
      <c r="L96" s="4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</row>
    <row r="97" spans="2:57" x14ac:dyDescent="0.25">
      <c r="B97" s="91"/>
      <c r="C97" s="111" t="str">
        <f>C49</f>
        <v xml:space="preserve"> Облачно с прояснениями</v>
      </c>
      <c r="D97" s="112" t="str">
        <f t="shared" ref="D97:D106" si="2">C57</f>
        <v>Слабый дождь</v>
      </c>
      <c r="E97" s="112" t="s">
        <v>179</v>
      </c>
      <c r="F97" s="113" t="s">
        <v>187</v>
      </c>
      <c r="G97" s="212" t="s">
        <v>195</v>
      </c>
      <c r="H97" s="59"/>
      <c r="J97" s="4"/>
      <c r="K97" s="4"/>
      <c r="L97" s="4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</row>
    <row r="98" spans="2:57" x14ac:dyDescent="0.25">
      <c r="B98" s="91"/>
      <c r="C98" s="114" t="str">
        <f>C49</f>
        <v xml:space="preserve"> Облачно с прояснениями</v>
      </c>
      <c r="D98" s="115" t="str">
        <f t="shared" si="2"/>
        <v>Дождь</v>
      </c>
      <c r="E98" s="115" t="s">
        <v>180</v>
      </c>
      <c r="F98" s="116" t="s">
        <v>188</v>
      </c>
      <c r="G98" s="212" t="s">
        <v>195</v>
      </c>
      <c r="H98" s="59"/>
      <c r="J98" s="4"/>
      <c r="K98" s="4"/>
      <c r="L98" s="4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</row>
    <row r="99" spans="2:57" x14ac:dyDescent="0.25">
      <c r="B99" s="91"/>
      <c r="C99" s="114" t="str">
        <f>C49</f>
        <v xml:space="preserve"> Облачно с прояснениями</v>
      </c>
      <c r="D99" s="115" t="str">
        <f t="shared" si="2"/>
        <v>Сильный дождь</v>
      </c>
      <c r="E99" s="115" t="s">
        <v>181</v>
      </c>
      <c r="F99" s="116" t="s">
        <v>189</v>
      </c>
      <c r="G99" s="212" t="s">
        <v>195</v>
      </c>
      <c r="H99" s="59"/>
      <c r="J99" s="4"/>
      <c r="K99" s="4"/>
      <c r="L99" s="4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</row>
    <row r="100" spans="2:57" x14ac:dyDescent="0.25">
      <c r="B100" s="91"/>
      <c r="C100" s="114" t="str">
        <f>C49</f>
        <v xml:space="preserve"> Облачно с прояснениями</v>
      </c>
      <c r="D100" s="115" t="str">
        <f t="shared" si="2"/>
        <v>Слабый снег</v>
      </c>
      <c r="E100" s="115" t="s">
        <v>182</v>
      </c>
      <c r="F100" s="116" t="s">
        <v>190</v>
      </c>
      <c r="G100" s="212" t="s">
        <v>195</v>
      </c>
      <c r="H100" s="59"/>
      <c r="J100" s="4"/>
      <c r="K100" s="4"/>
      <c r="L100" s="4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</row>
    <row r="101" spans="2:57" x14ac:dyDescent="0.25">
      <c r="B101" s="91"/>
      <c r="C101" s="114" t="str">
        <f>C49</f>
        <v xml:space="preserve"> Облачно с прояснениями</v>
      </c>
      <c r="D101" s="115" t="str">
        <f t="shared" si="2"/>
        <v>Снег</v>
      </c>
      <c r="E101" s="115" t="s">
        <v>183</v>
      </c>
      <c r="F101" s="116" t="s">
        <v>191</v>
      </c>
      <c r="G101" s="212" t="s">
        <v>195</v>
      </c>
      <c r="H101" s="59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</row>
    <row r="102" spans="2:57" x14ac:dyDescent="0.25">
      <c r="B102" s="91"/>
      <c r="C102" s="114" t="str">
        <f>C49</f>
        <v xml:space="preserve"> Облачно с прояснениями</v>
      </c>
      <c r="D102" s="115" t="str">
        <f t="shared" si="2"/>
        <v>Сильный снег</v>
      </c>
      <c r="E102" s="115" t="s">
        <v>184</v>
      </c>
      <c r="F102" s="116" t="s">
        <v>192</v>
      </c>
      <c r="G102" s="212" t="s">
        <v>195</v>
      </c>
      <c r="H102" s="59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</row>
    <row r="103" spans="2:57" x14ac:dyDescent="0.25">
      <c r="B103" s="91"/>
      <c r="C103" s="114" t="str">
        <f>C49</f>
        <v xml:space="preserve"> Облачно с прояснениями</v>
      </c>
      <c r="D103" s="115" t="str">
        <f t="shared" si="2"/>
        <v>Слабый снег с дождем</v>
      </c>
      <c r="E103" s="115" t="s">
        <v>185</v>
      </c>
      <c r="F103" s="116" t="s">
        <v>193</v>
      </c>
      <c r="G103" s="212" t="s">
        <v>195</v>
      </c>
      <c r="H103" s="59"/>
      <c r="M103" s="70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</row>
    <row r="104" spans="2:57" x14ac:dyDescent="0.25">
      <c r="B104" s="91"/>
      <c r="C104" s="114" t="str">
        <f>C49</f>
        <v xml:space="preserve"> Облачно с прояснениями</v>
      </c>
      <c r="D104" s="115" t="str">
        <f t="shared" si="2"/>
        <v>Снег с дождем</v>
      </c>
      <c r="E104" s="115" t="s">
        <v>185</v>
      </c>
      <c r="F104" s="116" t="s">
        <v>193</v>
      </c>
      <c r="G104" s="212" t="s">
        <v>195</v>
      </c>
      <c r="H104" s="59"/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</row>
    <row r="105" spans="2:57" x14ac:dyDescent="0.25">
      <c r="B105" s="91"/>
      <c r="C105" s="114" t="str">
        <f>C49</f>
        <v xml:space="preserve"> Облачно с прояснениями</v>
      </c>
      <c r="D105" s="115" t="str">
        <f t="shared" si="2"/>
        <v>Сильный снег с дождем</v>
      </c>
      <c r="E105" s="115" t="s">
        <v>185</v>
      </c>
      <c r="F105" s="116" t="s">
        <v>193</v>
      </c>
      <c r="G105" s="212" t="s">
        <v>195</v>
      </c>
      <c r="H105" s="59"/>
      <c r="M105" s="70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</row>
    <row r="106" spans="2:57" ht="15.75" thickBot="1" x14ac:dyDescent="0.3">
      <c r="B106" s="91"/>
      <c r="C106" s="117" t="str">
        <f>C49</f>
        <v xml:space="preserve"> Облачно с прояснениями</v>
      </c>
      <c r="D106" s="118" t="str">
        <f t="shared" si="2"/>
        <v>Гроза</v>
      </c>
      <c r="E106" s="118" t="s">
        <v>186</v>
      </c>
      <c r="F106" s="119" t="s">
        <v>194</v>
      </c>
      <c r="G106" s="212" t="s">
        <v>195</v>
      </c>
      <c r="H106" s="59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</row>
    <row r="107" spans="2:57" x14ac:dyDescent="0.25">
      <c r="B107" s="91"/>
      <c r="C107" s="111" t="str">
        <f>C50</f>
        <v xml:space="preserve"> Облачно</v>
      </c>
      <c r="D107" s="112" t="str">
        <f t="shared" ref="D107:D116" si="3">C57</f>
        <v>Слабый дождь</v>
      </c>
      <c r="E107" s="112" t="s">
        <v>196</v>
      </c>
      <c r="F107" s="113" t="s">
        <v>196</v>
      </c>
      <c r="G107" s="212"/>
      <c r="H107" s="59"/>
      <c r="M107" s="70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</row>
    <row r="108" spans="2:57" x14ac:dyDescent="0.25">
      <c r="B108" s="14"/>
      <c r="C108" s="114" t="str">
        <f>C50</f>
        <v xml:space="preserve"> Облачно</v>
      </c>
      <c r="D108" s="115" t="str">
        <f t="shared" si="3"/>
        <v>Дождь</v>
      </c>
      <c r="E108" s="115" t="s">
        <v>197</v>
      </c>
      <c r="F108" s="116" t="s">
        <v>197</v>
      </c>
      <c r="G108" s="212"/>
      <c r="H108" s="59"/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92"/>
      <c r="BE108" s="92"/>
    </row>
    <row r="109" spans="2:57" x14ac:dyDescent="0.25">
      <c r="B109" s="14"/>
      <c r="C109" s="114" t="str">
        <f>C50</f>
        <v xml:space="preserve"> Облачно</v>
      </c>
      <c r="D109" s="115" t="str">
        <f t="shared" si="3"/>
        <v>Сильный дождь</v>
      </c>
      <c r="E109" s="115" t="s">
        <v>198</v>
      </c>
      <c r="F109" s="116" t="s">
        <v>198</v>
      </c>
      <c r="G109" s="212"/>
      <c r="H109" s="59"/>
      <c r="M109" s="4"/>
    </row>
    <row r="110" spans="2:57" x14ac:dyDescent="0.25">
      <c r="B110" s="14"/>
      <c r="C110" s="114" t="str">
        <f>C50</f>
        <v xml:space="preserve"> Облачно</v>
      </c>
      <c r="D110" s="115" t="str">
        <f t="shared" si="3"/>
        <v>Слабый снег</v>
      </c>
      <c r="E110" s="115" t="s">
        <v>199</v>
      </c>
      <c r="F110" s="116" t="s">
        <v>199</v>
      </c>
      <c r="G110" s="212"/>
      <c r="H110" s="59"/>
    </row>
    <row r="111" spans="2:57" x14ac:dyDescent="0.25">
      <c r="B111" s="14"/>
      <c r="C111" s="114" t="str">
        <f>C50</f>
        <v xml:space="preserve"> Облачно</v>
      </c>
      <c r="D111" s="115" t="str">
        <f t="shared" si="3"/>
        <v>Снег</v>
      </c>
      <c r="E111" s="115" t="s">
        <v>200</v>
      </c>
      <c r="F111" s="116" t="s">
        <v>200</v>
      </c>
      <c r="G111" s="212"/>
      <c r="H111" s="59"/>
    </row>
    <row r="112" spans="2:57" x14ac:dyDescent="0.25">
      <c r="B112" s="14"/>
      <c r="C112" s="114" t="str">
        <f>C50</f>
        <v xml:space="preserve"> Облачно</v>
      </c>
      <c r="D112" s="115" t="str">
        <f t="shared" si="3"/>
        <v>Сильный снег</v>
      </c>
      <c r="E112" s="115" t="s">
        <v>201</v>
      </c>
      <c r="F112" s="116" t="s">
        <v>201</v>
      </c>
      <c r="G112" s="212"/>
      <c r="H112" s="59"/>
    </row>
    <row r="113" spans="2:8" x14ac:dyDescent="0.25">
      <c r="B113" s="14"/>
      <c r="C113" s="114" t="str">
        <f>C50</f>
        <v xml:space="preserve"> Облачно</v>
      </c>
      <c r="D113" s="115" t="str">
        <f t="shared" si="3"/>
        <v>Слабый снег с дождем</v>
      </c>
      <c r="E113" s="115" t="s">
        <v>202</v>
      </c>
      <c r="F113" s="116" t="s">
        <v>202</v>
      </c>
      <c r="G113" s="212"/>
      <c r="H113" s="59"/>
    </row>
    <row r="114" spans="2:8" x14ac:dyDescent="0.25">
      <c r="B114" s="14"/>
      <c r="C114" s="114" t="str">
        <f>C50</f>
        <v xml:space="preserve"> Облачно</v>
      </c>
      <c r="D114" s="115" t="str">
        <f t="shared" si="3"/>
        <v>Снег с дождем</v>
      </c>
      <c r="E114" s="115" t="s">
        <v>202</v>
      </c>
      <c r="F114" s="116" t="s">
        <v>202</v>
      </c>
      <c r="G114" s="212"/>
      <c r="H114" s="59"/>
    </row>
    <row r="115" spans="2:8" x14ac:dyDescent="0.25">
      <c r="B115" s="14"/>
      <c r="C115" s="114" t="str">
        <f>C50</f>
        <v xml:space="preserve"> Облачно</v>
      </c>
      <c r="D115" s="115" t="str">
        <f t="shared" si="3"/>
        <v>Сильный снег с дождем</v>
      </c>
      <c r="E115" s="115" t="s">
        <v>202</v>
      </c>
      <c r="F115" s="116" t="s">
        <v>202</v>
      </c>
      <c r="G115" s="212"/>
      <c r="H115" s="59"/>
    </row>
    <row r="116" spans="2:8" ht="15.75" thickBot="1" x14ac:dyDescent="0.3">
      <c r="B116" s="14"/>
      <c r="C116" s="117" t="str">
        <f>C50</f>
        <v xml:space="preserve"> Облачно</v>
      </c>
      <c r="D116" s="118" t="str">
        <f t="shared" si="3"/>
        <v>Гроза</v>
      </c>
      <c r="E116" s="118" t="s">
        <v>203</v>
      </c>
      <c r="F116" s="119" t="s">
        <v>203</v>
      </c>
      <c r="G116" s="212"/>
      <c r="H116" s="59"/>
    </row>
    <row r="117" spans="2:8" ht="15.75" thickBot="1" x14ac:dyDescent="0.3">
      <c r="B117" s="71"/>
      <c r="C117" s="74"/>
      <c r="D117" s="74"/>
      <c r="E117" s="74"/>
      <c r="F117" s="74"/>
      <c r="G117" s="74"/>
      <c r="H117" s="75"/>
    </row>
    <row r="118" spans="2:8" ht="15.75" thickTop="1" x14ac:dyDescent="0.25"/>
  </sheetData>
  <sheetProtection selectLockedCells="1"/>
  <mergeCells count="16">
    <mergeCell ref="C43:F44"/>
    <mergeCell ref="C53:F54"/>
    <mergeCell ref="C69:F70"/>
    <mergeCell ref="M7:N7"/>
    <mergeCell ref="M10:N10"/>
    <mergeCell ref="M23:O23"/>
    <mergeCell ref="M24:O24"/>
    <mergeCell ref="M26:O26"/>
    <mergeCell ref="C3:F4"/>
    <mergeCell ref="C18:F19"/>
    <mergeCell ref="M11:N11"/>
    <mergeCell ref="M12:N12"/>
    <mergeCell ref="C30:F31"/>
    <mergeCell ref="M16:O16"/>
    <mergeCell ref="M17:O17"/>
    <mergeCell ref="M19:O19"/>
  </mergeCells>
  <hyperlinks>
    <hyperlink ref="M7" r:id="rId1" display="\\TRANSFER02\Pogoda\METEODATA\"/>
    <hyperlink ref="M10" r:id="rId2" display="\\TRANSFER02\Pogoda\TXT\"/>
    <hyperlink ref="M11" r:id="rId3" display="\\TRANSFER02\Pogoda\TXT\"/>
    <hyperlink ref="M12" r:id="rId4" display="\\TRANSFER02\Pogoda\TXT\"/>
  </hyperlinks>
  <pageMargins left="0.7" right="0.7" top="0.75" bottom="0.75" header="0.3" footer="0.3"/>
  <pageSetup paperSize="9" orientation="portrait" r:id="rId5"/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AZ100"/>
  <sheetViews>
    <sheetView zoomScaleNormal="100" workbookViewId="0">
      <selection activeCell="G18" sqref="G18"/>
    </sheetView>
  </sheetViews>
  <sheetFormatPr defaultRowHeight="15" x14ac:dyDescent="0.25"/>
  <cols>
    <col min="1" max="1" width="1.7109375" style="2" customWidth="1"/>
    <col min="2" max="2" width="20.7109375" style="2" customWidth="1"/>
    <col min="3" max="3" width="40.7109375" style="2" customWidth="1"/>
    <col min="4" max="5" width="1.7109375" style="2" customWidth="1"/>
    <col min="6" max="12" width="18.7109375" style="2" customWidth="1"/>
    <col min="13" max="14" width="18.7109375" style="103" customWidth="1"/>
    <col min="15" max="52" width="18.7109375" style="2" customWidth="1"/>
    <col min="53" max="16384" width="9.140625" style="2"/>
  </cols>
  <sheetData>
    <row r="2" spans="2:43" ht="15.75" customHeight="1" thickBot="1" x14ac:dyDescent="0.3"/>
    <row r="3" spans="2:43" ht="15.75" thickTop="1" x14ac:dyDescent="0.25">
      <c r="B3" s="121" t="s">
        <v>90</v>
      </c>
      <c r="C3" s="120" t="str">
        <f>METEO!L2</f>
        <v>4.10.2024</v>
      </c>
      <c r="F3" s="35"/>
      <c r="G3" s="54" t="str">
        <f>C17</f>
        <v>День, 4.10</v>
      </c>
      <c r="H3" s="19"/>
      <c r="I3" s="19"/>
      <c r="J3" s="19"/>
      <c r="K3" s="19"/>
      <c r="L3" s="19"/>
      <c r="M3" s="104"/>
      <c r="N3" s="104"/>
      <c r="O3" s="20"/>
      <c r="P3" s="54" t="str">
        <f>C18</f>
        <v>Ночь, 4.10</v>
      </c>
      <c r="Q3" s="19"/>
      <c r="R3" s="19"/>
      <c r="S3" s="19"/>
      <c r="T3" s="19"/>
      <c r="U3" s="19"/>
      <c r="V3" s="104"/>
      <c r="W3" s="104"/>
      <c r="X3" s="20"/>
      <c r="Y3" s="54" t="str">
        <f>C19</f>
        <v>День, 5.10</v>
      </c>
      <c r="Z3" s="19"/>
      <c r="AA3" s="19"/>
      <c r="AB3" s="19"/>
      <c r="AC3" s="19"/>
      <c r="AD3" s="19"/>
      <c r="AE3" s="104"/>
      <c r="AF3" s="104"/>
      <c r="AG3" s="20"/>
      <c r="AH3" s="54" t="str">
        <f>C20</f>
        <v>Ночь, 5.10</v>
      </c>
      <c r="AI3" s="19"/>
      <c r="AJ3" s="19"/>
      <c r="AK3" s="19"/>
      <c r="AL3" s="19"/>
      <c r="AM3" s="19"/>
      <c r="AN3" s="104"/>
      <c r="AO3" s="104"/>
      <c r="AP3" s="20"/>
    </row>
    <row r="4" spans="2:43" ht="15.75" thickBot="1" x14ac:dyDescent="0.3">
      <c r="B4" s="122" t="s">
        <v>91</v>
      </c>
      <c r="C4" s="123" t="str">
        <f>METEO!L25</f>
        <v>5.10.2024</v>
      </c>
      <c r="G4" s="13"/>
      <c r="O4" s="21"/>
      <c r="P4" s="13"/>
      <c r="V4" s="103"/>
      <c r="W4" s="103"/>
      <c r="X4" s="21"/>
      <c r="Y4" s="13"/>
      <c r="AE4" s="103"/>
      <c r="AF4" s="103"/>
      <c r="AG4" s="21"/>
      <c r="AH4" s="13"/>
      <c r="AN4" s="103"/>
      <c r="AO4" s="103"/>
      <c r="AP4" s="21"/>
    </row>
    <row r="5" spans="2:43" ht="15.75" thickTop="1" x14ac:dyDescent="0.25">
      <c r="B5" s="121" t="s">
        <v>92</v>
      </c>
      <c r="C5" s="124">
        <f>DATEVALUE(C3)</f>
        <v>45569</v>
      </c>
      <c r="F5" s="18"/>
      <c r="G5" s="43" t="s">
        <v>43</v>
      </c>
      <c r="H5" s="31" t="s">
        <v>44</v>
      </c>
      <c r="I5" s="31" t="s">
        <v>49</v>
      </c>
      <c r="J5" s="31" t="s">
        <v>50</v>
      </c>
      <c r="L5" s="208" t="s">
        <v>162</v>
      </c>
      <c r="M5" s="209" t="s">
        <v>163</v>
      </c>
      <c r="N5" s="209" t="s">
        <v>164</v>
      </c>
      <c r="O5" s="21"/>
      <c r="P5" s="43" t="s">
        <v>43</v>
      </c>
      <c r="Q5" s="31" t="s">
        <v>44</v>
      </c>
      <c r="R5" s="31" t="s">
        <v>49</v>
      </c>
      <c r="S5" s="31" t="s">
        <v>50</v>
      </c>
      <c r="U5" s="208" t="s">
        <v>162</v>
      </c>
      <c r="V5" s="209" t="s">
        <v>163</v>
      </c>
      <c r="W5" s="209" t="s">
        <v>164</v>
      </c>
      <c r="X5" s="21"/>
      <c r="Y5" s="43" t="s">
        <v>43</v>
      </c>
      <c r="Z5" s="31" t="s">
        <v>44</v>
      </c>
      <c r="AA5" s="31" t="s">
        <v>49</v>
      </c>
      <c r="AB5" s="31" t="s">
        <v>50</v>
      </c>
      <c r="AD5" s="208" t="s">
        <v>162</v>
      </c>
      <c r="AE5" s="209" t="s">
        <v>163</v>
      </c>
      <c r="AF5" s="209" t="s">
        <v>164</v>
      </c>
      <c r="AG5" s="21"/>
      <c r="AH5" s="43" t="s">
        <v>43</v>
      </c>
      <c r="AI5" s="31" t="s">
        <v>44</v>
      </c>
      <c r="AJ5" s="31" t="s">
        <v>49</v>
      </c>
      <c r="AK5" s="31" t="s">
        <v>50</v>
      </c>
      <c r="AM5" s="208" t="s">
        <v>162</v>
      </c>
      <c r="AN5" s="209" t="s">
        <v>163</v>
      </c>
      <c r="AO5" s="209" t="s">
        <v>164</v>
      </c>
      <c r="AP5" s="21"/>
    </row>
    <row r="6" spans="2:43" ht="15.75" thickBot="1" x14ac:dyDescent="0.3">
      <c r="B6" s="122" t="s">
        <v>93</v>
      </c>
      <c r="C6" s="125">
        <f>DATEVALUE(C4)</f>
        <v>45570</v>
      </c>
      <c r="F6" s="96" t="str">
        <f>Service1!C6</f>
        <v>Омск</v>
      </c>
      <c r="G6" s="44" t="str">
        <f>METEO!T6</f>
        <v>Юго-Западный</v>
      </c>
      <c r="H6" s="31" t="str">
        <f>VLOOKUP(G6,Таблица1[#All],2,FALSE)</f>
        <v>ветер ЮЗ</v>
      </c>
      <c r="I6" s="42" t="str">
        <f>CONCATENATE(METEO!AL6," м/с")</f>
        <v>3 м/с</v>
      </c>
      <c r="J6" s="36" t="str">
        <f>CONCATENATE(TEXT(METEO!BC6,"#")," мм")</f>
        <v>760 мм</v>
      </c>
      <c r="L6" s="208"/>
      <c r="M6" s="209"/>
      <c r="N6" s="209"/>
      <c r="O6" s="21"/>
      <c r="P6" s="44" t="str">
        <f>METEO!BV6</f>
        <v>Южный</v>
      </c>
      <c r="Q6" s="31" t="str">
        <f>VLOOKUP(P6,Таблица1[#All],2,FALSE)</f>
        <v>ветер Ю</v>
      </c>
      <c r="R6" s="42" t="str">
        <f>CONCATENATE(METEO!CN6," м/с")</f>
        <v>3 м/с</v>
      </c>
      <c r="S6" s="36" t="str">
        <f>CONCATENATE(TEXT(METEO!DE6,"#")," мм")</f>
        <v>758 мм</v>
      </c>
      <c r="U6" s="208"/>
      <c r="V6" s="209"/>
      <c r="W6" s="209"/>
      <c r="X6" s="21"/>
      <c r="Y6" s="44" t="str">
        <f>METEO!T29</f>
        <v>Южный</v>
      </c>
      <c r="Z6" s="31" t="str">
        <f>VLOOKUP(Y6,Таблица1[#All],2,FALSE)</f>
        <v>ветер Ю</v>
      </c>
      <c r="AA6" s="42" t="str">
        <f>CONCATENATE(METEO!AL29," м/с")</f>
        <v>2 м/с</v>
      </c>
      <c r="AB6" s="36" t="str">
        <f>CONCATENATE(TEXT(METEO!DE6,"#")," мм")</f>
        <v>758 мм</v>
      </c>
      <c r="AD6" s="208"/>
      <c r="AE6" s="209"/>
      <c r="AF6" s="209"/>
      <c r="AG6" s="21"/>
      <c r="AH6" s="44" t="str">
        <f>METEO!BV29</f>
        <v>Южный</v>
      </c>
      <c r="AI6" s="31" t="str">
        <f>VLOOKUP(AH6,Таблица1[#All],2,FALSE)</f>
        <v>ветер Ю</v>
      </c>
      <c r="AJ6" s="42" t="str">
        <f>CONCATENATE(METEO!CN29," м/с")</f>
        <v>2 м/с</v>
      </c>
      <c r="AK6" s="36" t="str">
        <f>CONCATENATE(TEXT(METEO!DE29,"#")," мм")</f>
        <v>750 мм</v>
      </c>
      <c r="AM6" s="208"/>
      <c r="AN6" s="209"/>
      <c r="AO6" s="209"/>
      <c r="AP6" s="21"/>
    </row>
    <row r="7" spans="2:43" ht="16.5" thickTop="1" thickBot="1" x14ac:dyDescent="0.3">
      <c r="B7" s="121" t="s">
        <v>94</v>
      </c>
      <c r="C7" s="126">
        <f>WEEKDAY(C5,3)</f>
        <v>4</v>
      </c>
      <c r="F7" s="97"/>
      <c r="G7" s="13"/>
      <c r="M7" s="105"/>
      <c r="O7" s="21"/>
      <c r="P7" s="13"/>
      <c r="V7" s="105"/>
      <c r="W7" s="103"/>
      <c r="X7" s="21"/>
      <c r="Y7" s="13"/>
      <c r="AE7" s="105"/>
      <c r="AF7" s="103"/>
      <c r="AG7" s="21"/>
      <c r="AH7" s="13"/>
      <c r="AN7" s="105"/>
      <c r="AO7" s="103"/>
      <c r="AP7" s="21"/>
    </row>
    <row r="8" spans="2:43" ht="16.5" thickTop="1" thickBot="1" x14ac:dyDescent="0.3">
      <c r="B8" s="122" t="s">
        <v>95</v>
      </c>
      <c r="C8" s="127">
        <f>WEEKDAY(C6,3)</f>
        <v>5</v>
      </c>
      <c r="F8" s="98"/>
      <c r="G8" s="45" t="s">
        <v>51</v>
      </c>
      <c r="H8" s="32" t="s">
        <v>48</v>
      </c>
      <c r="I8" s="33" t="s">
        <v>45</v>
      </c>
      <c r="J8" s="33" t="s">
        <v>46</v>
      </c>
      <c r="K8" s="195" t="s">
        <v>158</v>
      </c>
      <c r="L8" s="195" t="s">
        <v>159</v>
      </c>
      <c r="M8" s="102" t="s">
        <v>52</v>
      </c>
      <c r="N8" s="102" t="s">
        <v>2</v>
      </c>
      <c r="O8" s="40" t="s">
        <v>53</v>
      </c>
      <c r="P8" s="45" t="s">
        <v>51</v>
      </c>
      <c r="Q8" s="32" t="s">
        <v>48</v>
      </c>
      <c r="R8" s="33" t="s">
        <v>45</v>
      </c>
      <c r="S8" s="33" t="s">
        <v>46</v>
      </c>
      <c r="T8" s="195" t="s">
        <v>158</v>
      </c>
      <c r="U8" s="195" t="s">
        <v>159</v>
      </c>
      <c r="V8" s="102" t="s">
        <v>52</v>
      </c>
      <c r="W8" s="102" t="s">
        <v>2</v>
      </c>
      <c r="X8" s="40" t="s">
        <v>53</v>
      </c>
      <c r="Y8" s="45" t="s">
        <v>51</v>
      </c>
      <c r="Z8" s="32" t="s">
        <v>48</v>
      </c>
      <c r="AA8" s="33" t="s">
        <v>45</v>
      </c>
      <c r="AB8" s="33" t="s">
        <v>46</v>
      </c>
      <c r="AC8" s="195" t="s">
        <v>158</v>
      </c>
      <c r="AD8" s="195" t="s">
        <v>159</v>
      </c>
      <c r="AE8" s="102" t="s">
        <v>52</v>
      </c>
      <c r="AF8" s="102" t="s">
        <v>2</v>
      </c>
      <c r="AG8" s="40" t="s">
        <v>53</v>
      </c>
      <c r="AH8" s="45" t="s">
        <v>51</v>
      </c>
      <c r="AI8" s="32" t="s">
        <v>48</v>
      </c>
      <c r="AJ8" s="33" t="s">
        <v>45</v>
      </c>
      <c r="AK8" s="33" t="s">
        <v>46</v>
      </c>
      <c r="AL8" s="195" t="s">
        <v>160</v>
      </c>
      <c r="AM8" s="195" t="s">
        <v>159</v>
      </c>
      <c r="AN8" s="102" t="s">
        <v>52</v>
      </c>
      <c r="AO8" s="102" t="s">
        <v>2</v>
      </c>
      <c r="AP8" s="40" t="s">
        <v>53</v>
      </c>
      <c r="AQ8" s="198" t="s">
        <v>47</v>
      </c>
    </row>
    <row r="9" spans="2:43" ht="15.75" thickTop="1" x14ac:dyDescent="0.25">
      <c r="B9" s="128" t="s">
        <v>96</v>
      </c>
      <c r="C9" s="124" t="str">
        <f>PROPER(VLOOKUP(C7,Таблица4[],2,FALSE))</f>
        <v>Пятница</v>
      </c>
      <c r="F9" s="99" t="str">
        <f>Service1!C6</f>
        <v>Омск</v>
      </c>
      <c r="G9" s="46">
        <f>METEO!T8</f>
        <v>16</v>
      </c>
      <c r="H9" s="32" t="str">
        <f>CONCATENATE(TEXT(G9,"+# ##0;-# ##0;0"),"°")</f>
        <v>+16°</v>
      </c>
      <c r="I9" s="37">
        <f t="shared" ref="I9:I23" si="0">G9+800</f>
        <v>816</v>
      </c>
      <c r="J9" s="37">
        <f t="shared" ref="J9:J23" si="1">I9-MIN(I9,R9,AA9,AJ9)</f>
        <v>15</v>
      </c>
      <c r="K9" s="196">
        <f t="shared" ref="K9:K23" si="2">((800/MAX(J9,S9,AB9,AK9))*J9)</f>
        <v>800</v>
      </c>
      <c r="L9" s="200">
        <f>ROUND(K9,0)</f>
        <v>800</v>
      </c>
      <c r="M9" s="102" t="str">
        <f>METEO!Z8</f>
        <v xml:space="preserve"> Облачно</v>
      </c>
      <c r="N9" s="102" t="str">
        <f>METEO!AW8</f>
        <v>Без осадков</v>
      </c>
      <c r="O9" s="101" t="str">
        <f t="array" ref="O9">INDEX(Service1!E72:E116,MATCH(Service2!M9&amp;Service2!N9,Service1!C72:C116&amp;Service1!D72:D116,0))</f>
        <v>iconClouds.mov</v>
      </c>
      <c r="P9" s="46">
        <f>METEO!BV8</f>
        <v>1</v>
      </c>
      <c r="Q9" s="32" t="str">
        <f>CONCATENATE(TEXT(P9,"+# ##0;-# ##0;0"),"°")</f>
        <v>+1°</v>
      </c>
      <c r="R9" s="37">
        <f t="shared" ref="R9:R23" si="3">P9+800</f>
        <v>801</v>
      </c>
      <c r="S9" s="37">
        <f t="shared" ref="S9:S23" si="4">R9-MIN(I9,R9,AA9,AJ9)</f>
        <v>0</v>
      </c>
      <c r="T9" s="196">
        <f t="shared" ref="T9:T23" si="5">((800/MAX(J9,S9,AB9,AK9))*S9)</f>
        <v>0</v>
      </c>
      <c r="U9" s="200">
        <f>ROUND(T9,0)</f>
        <v>0</v>
      </c>
      <c r="V9" s="102" t="str">
        <f>METEO!CB8</f>
        <v xml:space="preserve"> Облачно с прояснениями</v>
      </c>
      <c r="W9" s="102" t="str">
        <f>METEO!CY8</f>
        <v>Без осадков</v>
      </c>
      <c r="X9" s="101" t="str">
        <f t="array" ref="X9">INDEX(Service1!F72:F116,MATCH(Service2!V9&amp;Service2!W9,Service1!C72:C116&amp;Service1!D72:D116,0))</f>
        <v>iconCloudMoon.mov</v>
      </c>
      <c r="Y9" s="46">
        <f>METEO!T31</f>
        <v>16</v>
      </c>
      <c r="Z9" s="32" t="str">
        <f>CONCATENATE(TEXT(Y9,"+# ##0;-# ##0;0"),"°")</f>
        <v>+16°</v>
      </c>
      <c r="AA9" s="37">
        <f t="shared" ref="AA9:AA23" si="6">Y9+800</f>
        <v>816</v>
      </c>
      <c r="AB9" s="201">
        <f t="shared" ref="AB9:AB23" si="7">AA9-MIN(I9,R9,AA9,AJ9)</f>
        <v>15</v>
      </c>
      <c r="AC9" s="196">
        <f t="shared" ref="AC9:AC23" si="8">((800/MAX(J9,S9,AB9,AK9))*AB9)</f>
        <v>800</v>
      </c>
      <c r="AD9" s="200">
        <f>ROUND(AC9,0)</f>
        <v>800</v>
      </c>
      <c r="AE9" s="102" t="str">
        <f>METEO!Z31</f>
        <v xml:space="preserve"> Ясно</v>
      </c>
      <c r="AF9" s="102" t="str">
        <f>METEO!AW31</f>
        <v>Без осадков</v>
      </c>
      <c r="AG9" s="101" t="str">
        <f t="array" ref="AG9">INDEX(Service1!E72:E116,MATCH(Service2!AE9&amp;Service2!AF9,Service1!C72:C116&amp;Service1!D72:D116,0))</f>
        <v>iconSun.mov</v>
      </c>
      <c r="AH9" s="46">
        <f>METEO!BV31</f>
        <v>1</v>
      </c>
      <c r="AI9" s="32" t="str">
        <f>CONCATENATE(TEXT(AH9,"+# ##0;-# ##0;0"),"°")</f>
        <v>+1°</v>
      </c>
      <c r="AJ9" s="37">
        <f t="shared" ref="AJ9:AJ23" si="9">AH9+800</f>
        <v>801</v>
      </c>
      <c r="AK9" s="37">
        <f t="shared" ref="AK9:AK23" si="10">AJ9-MIN(I9,R9,AA9,AJ9)</f>
        <v>0</v>
      </c>
      <c r="AL9" s="196">
        <f t="shared" ref="AL9:AL23" si="11">((800/MAX(J9,S9,AB9,AK9))*AK9)</f>
        <v>0</v>
      </c>
      <c r="AM9" s="200">
        <f>ROUND(AL9,0)</f>
        <v>0</v>
      </c>
      <c r="AN9" s="102" t="str">
        <f>METEO!CB31</f>
        <v xml:space="preserve"> Ясно</v>
      </c>
      <c r="AO9" s="102" t="str">
        <f>METEO!CY31</f>
        <v>Без осадков</v>
      </c>
      <c r="AP9" s="101" t="str">
        <f t="array" ref="AP9">INDEX(Service1!F72:F116,MATCH(Service2!AN9&amp;Service2!AO9,Service1!C72:C116&amp;Service1!D72:D116,0))</f>
        <v>iconMoon.mov</v>
      </c>
      <c r="AQ9" s="199" t="str">
        <f t="shared" ref="AQ9:AQ23" si="12">CONCATENATE(L9,", ",U9,", ",AD9,", ",AM9)</f>
        <v>800, 0, 800, 0</v>
      </c>
    </row>
    <row r="10" spans="2:43" ht="15.75" thickBot="1" x14ac:dyDescent="0.3">
      <c r="B10" s="129" t="s">
        <v>97</v>
      </c>
      <c r="C10" s="125" t="str">
        <f>PROPER(VLOOKUP(C8,Таблица4[],2,FALSE))</f>
        <v>Суббота</v>
      </c>
      <c r="F10" s="96" t="str">
        <f>Service1!C9</f>
        <v>Усть-Ишим</v>
      </c>
      <c r="G10" s="46">
        <f>METEO!T9</f>
        <v>14</v>
      </c>
      <c r="H10" s="32" t="str">
        <f>CONCATENATE(TEXT(G10,"+# ##0;-# ##0;0"),"°")</f>
        <v>+14°</v>
      </c>
      <c r="I10" s="37">
        <f t="shared" si="0"/>
        <v>814</v>
      </c>
      <c r="J10" s="37">
        <f t="shared" si="1"/>
        <v>11</v>
      </c>
      <c r="K10" s="196">
        <f t="shared" si="2"/>
        <v>800.00000000000011</v>
      </c>
      <c r="L10" s="200">
        <f t="shared" ref="L10:L23" si="13">ROUND(K10,0)</f>
        <v>800</v>
      </c>
      <c r="M10" s="102" t="str">
        <f>METEO!Z9</f>
        <v xml:space="preserve"> Облачно</v>
      </c>
      <c r="N10" s="102" t="str">
        <f>METEO!AW9</f>
        <v>Без осадков</v>
      </c>
      <c r="O10" s="101" t="str">
        <f t="array" ref="O10">INDEX(Service1!E72:E116,MATCH(Service2!M10&amp;Service2!N10,Service1!C72:C116&amp;Service1!D72:D116,0))</f>
        <v>iconClouds.mov</v>
      </c>
      <c r="P10" s="46">
        <f>METEO!BV9</f>
        <v>3</v>
      </c>
      <c r="Q10" s="32" t="str">
        <f>CONCATENATE(TEXT(P10,"+# ##0;-# ##0;0"),"°")</f>
        <v>+3°</v>
      </c>
      <c r="R10" s="37">
        <f t="shared" si="3"/>
        <v>803</v>
      </c>
      <c r="S10" s="37">
        <f t="shared" si="4"/>
        <v>0</v>
      </c>
      <c r="T10" s="196">
        <f t="shared" si="5"/>
        <v>0</v>
      </c>
      <c r="U10" s="200">
        <f t="shared" ref="U10:U23" si="14">ROUND(T10,0)</f>
        <v>0</v>
      </c>
      <c r="V10" s="102" t="str">
        <f>METEO!CB9</f>
        <v xml:space="preserve"> Облачно</v>
      </c>
      <c r="W10" s="102" t="str">
        <f>METEO!CY9</f>
        <v>Без осадков</v>
      </c>
      <c r="X10" s="101" t="str">
        <f t="array" ref="X10">INDEX(Service1!F72:F116,MATCH(Service2!V10&amp;Service2!W10,Service1!C72:C116&amp;Service1!D72:D116,0))</f>
        <v>iconClouds.mov</v>
      </c>
      <c r="Y10" s="46">
        <f>METEO!T32</f>
        <v>14</v>
      </c>
      <c r="Z10" s="32" t="str">
        <f>CONCATENATE(TEXT(Y10,"+# ##0;-# ##0;0"),"°")</f>
        <v>+14°</v>
      </c>
      <c r="AA10" s="37">
        <f t="shared" si="6"/>
        <v>814</v>
      </c>
      <c r="AB10" s="201">
        <f t="shared" si="7"/>
        <v>11</v>
      </c>
      <c r="AC10" s="196">
        <f t="shared" si="8"/>
        <v>800.00000000000011</v>
      </c>
      <c r="AD10" s="200">
        <f t="shared" ref="AD10:AD23" si="15">ROUND(AC10,0)</f>
        <v>800</v>
      </c>
      <c r="AE10" s="102" t="str">
        <f>METEO!Z32</f>
        <v xml:space="preserve"> Облачно с прояснениями</v>
      </c>
      <c r="AF10" s="102" t="str">
        <f>METEO!AW32</f>
        <v>Без осадков</v>
      </c>
      <c r="AG10" s="101" t="str">
        <f t="array" ref="AG10">INDEX(Service1!E72:E116,MATCH(Service2!AE10&amp;Service2!AF10,Service1!C72:C116&amp;Service1!D72:D116,0))</f>
        <v>iconCloudSun.mov</v>
      </c>
      <c r="AH10" s="46">
        <f>METEO!BV32</f>
        <v>3</v>
      </c>
      <c r="AI10" s="32" t="str">
        <f>CONCATENATE(TEXT(AH10,"+# ##0;-# ##0;0"),"°")</f>
        <v>+3°</v>
      </c>
      <c r="AJ10" s="37">
        <f t="shared" si="9"/>
        <v>803</v>
      </c>
      <c r="AK10" s="37">
        <f t="shared" si="10"/>
        <v>0</v>
      </c>
      <c r="AL10" s="196">
        <f t="shared" si="11"/>
        <v>0</v>
      </c>
      <c r="AM10" s="200">
        <f t="shared" ref="AM10:AM23" si="16">ROUND(AL10,0)</f>
        <v>0</v>
      </c>
      <c r="AN10" s="102" t="str">
        <f>METEO!CB32</f>
        <v xml:space="preserve"> Облачно с прояснениями</v>
      </c>
      <c r="AO10" s="102" t="str">
        <f>METEO!CY32</f>
        <v>Без осадков</v>
      </c>
      <c r="AP10" s="101" t="str">
        <f t="array" ref="AP10">INDEX(Service1!F72:F116,MATCH(Service2!AN10&amp;Service2!AO10,Service1!C72:C116&amp;Service1!D72:D116,0))</f>
        <v>iconCloudMoon.mov</v>
      </c>
      <c r="AQ10" s="199" t="str">
        <f t="shared" si="12"/>
        <v>800, 0, 800, 0</v>
      </c>
    </row>
    <row r="11" spans="2:43" ht="15.75" thickTop="1" x14ac:dyDescent="0.25">
      <c r="B11" s="132" t="s">
        <v>98</v>
      </c>
      <c r="C11" s="130" t="str">
        <f>CONCATENATE("Прогноз на ",VLOOKUP(C7,Таблица4[],3,FALSE))</f>
        <v>Прогноз на пятницу</v>
      </c>
      <c r="F11" s="96" t="str">
        <f>Service1!C10</f>
        <v>Тара</v>
      </c>
      <c r="G11" s="46">
        <f>METEO!T10</f>
        <v>15</v>
      </c>
      <c r="H11" s="32" t="str">
        <f t="shared" ref="H11:H23" si="17">CONCATENATE(TEXT(G11,"+# ##0;-# ##0;0"),"°")</f>
        <v>+15°</v>
      </c>
      <c r="I11" s="37">
        <f t="shared" si="0"/>
        <v>815</v>
      </c>
      <c r="J11" s="37">
        <f t="shared" si="1"/>
        <v>13</v>
      </c>
      <c r="K11" s="196">
        <f t="shared" si="2"/>
        <v>800</v>
      </c>
      <c r="L11" s="200">
        <f t="shared" si="13"/>
        <v>800</v>
      </c>
      <c r="M11" s="102" t="str">
        <f>METEO!Z10</f>
        <v xml:space="preserve"> Облачно</v>
      </c>
      <c r="N11" s="102" t="str">
        <f>METEO!AW10</f>
        <v>Без осадков</v>
      </c>
      <c r="O11" s="101" t="str">
        <f t="array" ref="O11">INDEX(Service1!E72:E116,MATCH(Service2!M11&amp;Service2!N11,Service1!C72:C116&amp;Service1!D72:D116,0))</f>
        <v>iconClouds.mov</v>
      </c>
      <c r="P11" s="46">
        <f>METEO!BV10</f>
        <v>3</v>
      </c>
      <c r="Q11" s="32" t="str">
        <f t="shared" ref="Q11:Q17" si="18">CONCATENATE(TEXT(P11,"+# ##0;-# ##0;0"),"°")</f>
        <v>+3°</v>
      </c>
      <c r="R11" s="37">
        <f t="shared" si="3"/>
        <v>803</v>
      </c>
      <c r="S11" s="37">
        <f t="shared" si="4"/>
        <v>1</v>
      </c>
      <c r="T11" s="196">
        <f t="shared" si="5"/>
        <v>61.53846153846154</v>
      </c>
      <c r="U11" s="200">
        <f t="shared" si="14"/>
        <v>62</v>
      </c>
      <c r="V11" s="102" t="str">
        <f>METEO!CB10</f>
        <v xml:space="preserve"> Облачно</v>
      </c>
      <c r="W11" s="102" t="str">
        <f>METEO!CY10</f>
        <v>Без осадков</v>
      </c>
      <c r="X11" s="101" t="str">
        <f t="array" ref="X11">INDEX(Service1!F72:F116,MATCH(Service2!V11&amp;Service2!W11,Service1!C72:C116&amp;Service1!D72:D116,0))</f>
        <v>iconClouds.mov</v>
      </c>
      <c r="Y11" s="46">
        <f>METEO!T33</f>
        <v>15</v>
      </c>
      <c r="Z11" s="32" t="str">
        <f t="shared" ref="Z11:Z17" si="19">CONCATENATE(TEXT(Y11,"+# ##0;-# ##0;0"),"°")</f>
        <v>+15°</v>
      </c>
      <c r="AA11" s="37">
        <f t="shared" si="6"/>
        <v>815</v>
      </c>
      <c r="AB11" s="201">
        <f t="shared" si="7"/>
        <v>13</v>
      </c>
      <c r="AC11" s="196">
        <f t="shared" si="8"/>
        <v>800</v>
      </c>
      <c r="AD11" s="200">
        <f t="shared" si="15"/>
        <v>800</v>
      </c>
      <c r="AE11" s="102" t="str">
        <f>METEO!Z33</f>
        <v xml:space="preserve"> Облачно с прояснениями</v>
      </c>
      <c r="AF11" s="102" t="str">
        <f>METEO!AW33</f>
        <v>Без осадков</v>
      </c>
      <c r="AG11" s="101" t="str">
        <f t="array" ref="AG11">INDEX(Service1!E72:E116,MATCH(Service2!AE11&amp;Service2!AF11,Service1!C72:C116&amp;Service1!D72:D116,0))</f>
        <v>iconCloudSun.mov</v>
      </c>
      <c r="AH11" s="46">
        <f>METEO!BV33</f>
        <v>2</v>
      </c>
      <c r="AI11" s="32" t="str">
        <f t="shared" ref="AI11:AI17" si="20">CONCATENATE(TEXT(AH11,"+# ##0;-# ##0;0"),"°")</f>
        <v>+2°</v>
      </c>
      <c r="AJ11" s="37">
        <f t="shared" si="9"/>
        <v>802</v>
      </c>
      <c r="AK11" s="37">
        <f t="shared" si="10"/>
        <v>0</v>
      </c>
      <c r="AL11" s="196">
        <f t="shared" si="11"/>
        <v>0</v>
      </c>
      <c r="AM11" s="200">
        <f t="shared" si="16"/>
        <v>0</v>
      </c>
      <c r="AN11" s="102" t="str">
        <f>METEO!CB33</f>
        <v xml:space="preserve"> Облачно с прояснениями</v>
      </c>
      <c r="AO11" s="102" t="str">
        <f>METEO!CY33</f>
        <v>Без осадков</v>
      </c>
      <c r="AP11" s="101" t="str">
        <f t="array" ref="AP11">INDEX(Service1!F72:F116,MATCH(Service2!AN11&amp;Service2!AO11,Service1!C72:C116&amp;Service1!D72:D116,0))</f>
        <v>iconCloudMoon.mov</v>
      </c>
      <c r="AQ11" s="199" t="str">
        <f t="shared" si="12"/>
        <v>800, 62, 800, 0</v>
      </c>
    </row>
    <row r="12" spans="2:43" ht="15.75" thickBot="1" x14ac:dyDescent="0.3">
      <c r="B12" s="133" t="s">
        <v>99</v>
      </c>
      <c r="C12" s="131" t="str">
        <f>CONCATENATE("Прогноз на ",VLOOKUP(C8,Таблица4[],3,FALSE))</f>
        <v>Прогноз на субботу</v>
      </c>
      <c r="F12" s="96" t="str">
        <f>Service1!C11</f>
        <v>Тюкалинск</v>
      </c>
      <c r="G12" s="46">
        <f>METEO!T11</f>
        <v>15</v>
      </c>
      <c r="H12" s="32" t="str">
        <f t="shared" si="17"/>
        <v>+15°</v>
      </c>
      <c r="I12" s="37">
        <f t="shared" si="0"/>
        <v>815</v>
      </c>
      <c r="J12" s="37">
        <f t="shared" si="1"/>
        <v>13</v>
      </c>
      <c r="K12" s="196">
        <f t="shared" si="2"/>
        <v>742.85714285714289</v>
      </c>
      <c r="L12" s="200">
        <f t="shared" si="13"/>
        <v>743</v>
      </c>
      <c r="M12" s="102" t="str">
        <f>METEO!Z11</f>
        <v xml:space="preserve"> Облачно</v>
      </c>
      <c r="N12" s="102" t="str">
        <f>METEO!AW11</f>
        <v>Без осадков</v>
      </c>
      <c r="O12" s="101" t="str">
        <f t="array" ref="O12">INDEX(Service1!E72:E116,MATCH(Service2!M12&amp;Service2!N12,Service1!C72:C116&amp;Service1!D72:D116,0))</f>
        <v>iconClouds.mov</v>
      </c>
      <c r="P12" s="46">
        <f>METEO!BV11</f>
        <v>2</v>
      </c>
      <c r="Q12" s="32" t="str">
        <f t="shared" si="18"/>
        <v>+2°</v>
      </c>
      <c r="R12" s="37">
        <f t="shared" si="3"/>
        <v>802</v>
      </c>
      <c r="S12" s="37">
        <f t="shared" si="4"/>
        <v>0</v>
      </c>
      <c r="T12" s="196">
        <f t="shared" si="5"/>
        <v>0</v>
      </c>
      <c r="U12" s="200">
        <f t="shared" si="14"/>
        <v>0</v>
      </c>
      <c r="V12" s="102" t="str">
        <f>METEO!CB11</f>
        <v xml:space="preserve"> Облачно с прояснениями</v>
      </c>
      <c r="W12" s="102" t="str">
        <f>METEO!CY11</f>
        <v>Без осадков</v>
      </c>
      <c r="X12" s="101" t="str">
        <f t="array" ref="X12">INDEX(Service1!F72:F116,MATCH(Service2!V12&amp;Service2!W12,Service1!C72:C116&amp;Service1!D72:D116,0))</f>
        <v>iconCloudMoon.mov</v>
      </c>
      <c r="Y12" s="46">
        <f>METEO!T34</f>
        <v>16</v>
      </c>
      <c r="Z12" s="32" t="str">
        <f t="shared" si="19"/>
        <v>+16°</v>
      </c>
      <c r="AA12" s="37">
        <f t="shared" si="6"/>
        <v>816</v>
      </c>
      <c r="AB12" s="201">
        <f t="shared" si="7"/>
        <v>14</v>
      </c>
      <c r="AC12" s="196">
        <f t="shared" si="8"/>
        <v>800</v>
      </c>
      <c r="AD12" s="200">
        <f t="shared" si="15"/>
        <v>800</v>
      </c>
      <c r="AE12" s="102" t="str">
        <f>METEO!Z34</f>
        <v xml:space="preserve"> Ясно</v>
      </c>
      <c r="AF12" s="102" t="str">
        <f>METEO!AW34</f>
        <v>Без осадков</v>
      </c>
      <c r="AG12" s="101" t="str">
        <f t="array" ref="AG12">INDEX(Service1!E72:E116,MATCH(Service2!AE12&amp;Service2!AF12,Service1!C72:C116&amp;Service1!D72:D116,0))</f>
        <v>iconSun.mov</v>
      </c>
      <c r="AH12" s="46">
        <f>METEO!BV34</f>
        <v>2</v>
      </c>
      <c r="AI12" s="32" t="str">
        <f t="shared" si="20"/>
        <v>+2°</v>
      </c>
      <c r="AJ12" s="37">
        <f t="shared" si="9"/>
        <v>802</v>
      </c>
      <c r="AK12" s="37">
        <f t="shared" si="10"/>
        <v>0</v>
      </c>
      <c r="AL12" s="196">
        <f t="shared" si="11"/>
        <v>0</v>
      </c>
      <c r="AM12" s="200">
        <f t="shared" si="16"/>
        <v>0</v>
      </c>
      <c r="AN12" s="102" t="str">
        <f>METEO!CB34</f>
        <v xml:space="preserve"> Ясно</v>
      </c>
      <c r="AO12" s="102" t="str">
        <f>METEO!CY34</f>
        <v>Без осадков</v>
      </c>
      <c r="AP12" s="101" t="str">
        <f t="array" ref="AP12">INDEX(Service1!F72:F116,MATCH(Service2!AN12&amp;Service2!AO12,Service1!C72:C116&amp;Service1!D72:D116,0))</f>
        <v>iconMoon.mov</v>
      </c>
      <c r="AQ12" s="199" t="str">
        <f t="shared" si="12"/>
        <v>743, 0, 800, 0</v>
      </c>
    </row>
    <row r="13" spans="2:43" ht="15.75" thickTop="1" x14ac:dyDescent="0.25">
      <c r="B13" s="136" t="s">
        <v>100</v>
      </c>
      <c r="C13" s="134" t="str">
        <f>TEXT(C5,"[$-FC19]Д ММММ")</f>
        <v>4 октября</v>
      </c>
      <c r="F13" s="96" t="str">
        <f>Service1!C12</f>
        <v>Большеречье</v>
      </c>
      <c r="G13" s="46">
        <f>METEO!T12</f>
        <v>16</v>
      </c>
      <c r="H13" s="32" t="str">
        <f t="shared" si="17"/>
        <v>+16°</v>
      </c>
      <c r="I13" s="37">
        <f t="shared" si="0"/>
        <v>816</v>
      </c>
      <c r="J13" s="37">
        <f t="shared" si="1"/>
        <v>14</v>
      </c>
      <c r="K13" s="196">
        <f t="shared" si="2"/>
        <v>800</v>
      </c>
      <c r="L13" s="200">
        <f t="shared" si="13"/>
        <v>800</v>
      </c>
      <c r="M13" s="102" t="str">
        <f>METEO!Z12</f>
        <v xml:space="preserve"> Облачно</v>
      </c>
      <c r="N13" s="102" t="str">
        <f>METEO!AW12</f>
        <v>Без осадков</v>
      </c>
      <c r="O13" s="101" t="str">
        <f t="array" ref="O13">INDEX(Service1!E72:E116,MATCH(Service2!M13&amp;Service2!N13,Service1!C72:C116&amp;Service1!D72:D116,0))</f>
        <v>iconClouds.mov</v>
      </c>
      <c r="P13" s="46">
        <f>METEO!BV12</f>
        <v>3</v>
      </c>
      <c r="Q13" s="32" t="str">
        <f t="shared" si="18"/>
        <v>+3°</v>
      </c>
      <c r="R13" s="37">
        <f t="shared" si="3"/>
        <v>803</v>
      </c>
      <c r="S13" s="37">
        <f t="shared" si="4"/>
        <v>1</v>
      </c>
      <c r="T13" s="196">
        <f t="shared" si="5"/>
        <v>57.142857142857146</v>
      </c>
      <c r="U13" s="200">
        <f t="shared" si="14"/>
        <v>57</v>
      </c>
      <c r="V13" s="102" t="str">
        <f>METEO!CB12</f>
        <v xml:space="preserve"> Облачно</v>
      </c>
      <c r="W13" s="102" t="str">
        <f>METEO!CY12</f>
        <v>Без осадков</v>
      </c>
      <c r="X13" s="101" t="str">
        <f t="array" ref="X13">INDEX(Service1!F72:F116,MATCH(Service2!V13&amp;Service2!W13,Service1!C72:C116&amp;Service1!D72:D116,0))</f>
        <v>iconClouds.mov</v>
      </c>
      <c r="Y13" s="46">
        <f>METEO!T35</f>
        <v>16</v>
      </c>
      <c r="Z13" s="32" t="str">
        <f t="shared" si="19"/>
        <v>+16°</v>
      </c>
      <c r="AA13" s="37">
        <f t="shared" si="6"/>
        <v>816</v>
      </c>
      <c r="AB13" s="201">
        <f t="shared" si="7"/>
        <v>14</v>
      </c>
      <c r="AC13" s="196">
        <f t="shared" si="8"/>
        <v>800</v>
      </c>
      <c r="AD13" s="200">
        <f t="shared" si="15"/>
        <v>800</v>
      </c>
      <c r="AE13" s="102" t="str">
        <f>METEO!Z35</f>
        <v xml:space="preserve"> Облачно с прояснениями</v>
      </c>
      <c r="AF13" s="102" t="str">
        <f>METEO!AW35</f>
        <v>Без осадков</v>
      </c>
      <c r="AG13" s="101" t="str">
        <f t="array" ref="AG13">INDEX(Service1!E72:E116,MATCH(Service2!AE13&amp;Service2!AF13,Service1!C72:C116&amp;Service1!D72:D116,0))</f>
        <v>iconCloudSun.mov</v>
      </c>
      <c r="AH13" s="46">
        <f>METEO!BV35</f>
        <v>2</v>
      </c>
      <c r="AI13" s="32" t="str">
        <f t="shared" si="20"/>
        <v>+2°</v>
      </c>
      <c r="AJ13" s="37">
        <f t="shared" si="9"/>
        <v>802</v>
      </c>
      <c r="AK13" s="37">
        <f t="shared" si="10"/>
        <v>0</v>
      </c>
      <c r="AL13" s="196">
        <f t="shared" si="11"/>
        <v>0</v>
      </c>
      <c r="AM13" s="200">
        <f t="shared" si="16"/>
        <v>0</v>
      </c>
      <c r="AN13" s="102" t="str">
        <f>METEO!CB35</f>
        <v xml:space="preserve"> Облачно с прояснениями</v>
      </c>
      <c r="AO13" s="102" t="str">
        <f>METEO!CY35</f>
        <v>Без осадков</v>
      </c>
      <c r="AP13" s="101" t="str">
        <f t="array" ref="AP13">INDEX(Service1!F72:F116,MATCH(Service2!AN13&amp;Service2!AO13,Service1!C72:C116&amp;Service1!D72:D116,0))</f>
        <v>iconCloudMoon.mov</v>
      </c>
      <c r="AQ13" s="199" t="str">
        <f t="shared" si="12"/>
        <v>800, 57, 800, 0</v>
      </c>
    </row>
    <row r="14" spans="2:43" ht="15.75" thickBot="1" x14ac:dyDescent="0.3">
      <c r="B14" s="137" t="s">
        <v>101</v>
      </c>
      <c r="C14" s="135" t="str">
        <f>TEXT(C6,"[$-FC19]Д ММММ")</f>
        <v>5 октября</v>
      </c>
      <c r="F14" s="96" t="str">
        <f>Service1!C13</f>
        <v>Называевск</v>
      </c>
      <c r="G14" s="46">
        <f>METEO!T13</f>
        <v>16</v>
      </c>
      <c r="H14" s="32" t="str">
        <f t="shared" si="17"/>
        <v>+16°</v>
      </c>
      <c r="I14" s="37">
        <f t="shared" si="0"/>
        <v>816</v>
      </c>
      <c r="J14" s="37">
        <f t="shared" si="1"/>
        <v>15</v>
      </c>
      <c r="K14" s="196">
        <f t="shared" si="2"/>
        <v>800</v>
      </c>
      <c r="L14" s="200">
        <f t="shared" si="13"/>
        <v>800</v>
      </c>
      <c r="M14" s="102" t="str">
        <f>METEO!Z13</f>
        <v xml:space="preserve"> Облачно</v>
      </c>
      <c r="N14" s="102" t="str">
        <f>METEO!AW13</f>
        <v>Без осадков</v>
      </c>
      <c r="O14" s="101" t="str">
        <f t="array" ref="O14">INDEX(Service1!E72:E116,MATCH(Service2!M14&amp;Service2!N14,Service1!C72:C116&amp;Service1!D72:D116,0))</f>
        <v>iconClouds.mov</v>
      </c>
      <c r="P14" s="46">
        <f>METEO!BV13</f>
        <v>1</v>
      </c>
      <c r="Q14" s="32" t="str">
        <f t="shared" si="18"/>
        <v>+1°</v>
      </c>
      <c r="R14" s="37">
        <f t="shared" si="3"/>
        <v>801</v>
      </c>
      <c r="S14" s="37">
        <f t="shared" si="4"/>
        <v>0</v>
      </c>
      <c r="T14" s="196">
        <f t="shared" si="5"/>
        <v>0</v>
      </c>
      <c r="U14" s="200">
        <f t="shared" si="14"/>
        <v>0</v>
      </c>
      <c r="V14" s="102" t="str">
        <f>METEO!CB13</f>
        <v xml:space="preserve"> Облачно с прояснениями</v>
      </c>
      <c r="W14" s="102" t="str">
        <f>METEO!CY13</f>
        <v>Без осадков</v>
      </c>
      <c r="X14" s="101" t="str">
        <f t="array" ref="X14">INDEX(Service1!F72:F116,MATCH(Service2!V14&amp;Service2!W14,Service1!C72:C116&amp;Service1!D72:D116,0))</f>
        <v>iconCloudMoon.mov</v>
      </c>
      <c r="Y14" s="46">
        <f>METEO!T36</f>
        <v>16</v>
      </c>
      <c r="Z14" s="32" t="str">
        <f t="shared" si="19"/>
        <v>+16°</v>
      </c>
      <c r="AA14" s="37">
        <f t="shared" si="6"/>
        <v>816</v>
      </c>
      <c r="AB14" s="201">
        <f t="shared" si="7"/>
        <v>15</v>
      </c>
      <c r="AC14" s="196">
        <f t="shared" si="8"/>
        <v>800</v>
      </c>
      <c r="AD14" s="200">
        <f t="shared" si="15"/>
        <v>800</v>
      </c>
      <c r="AE14" s="102" t="str">
        <f>METEO!Z36</f>
        <v xml:space="preserve"> Ясно</v>
      </c>
      <c r="AF14" s="102" t="str">
        <f>METEO!AW36</f>
        <v>Без осадков</v>
      </c>
      <c r="AG14" s="101" t="str">
        <f t="array" ref="AG14">INDEX(Service1!E72:E116,MATCH(Service2!AE14&amp;Service2!AF14,Service1!C72:C116&amp;Service1!D72:D116,0))</f>
        <v>iconSun.mov</v>
      </c>
      <c r="AH14" s="46">
        <f>METEO!BV36</f>
        <v>1</v>
      </c>
      <c r="AI14" s="32" t="str">
        <f t="shared" si="20"/>
        <v>+1°</v>
      </c>
      <c r="AJ14" s="37">
        <f t="shared" si="9"/>
        <v>801</v>
      </c>
      <c r="AK14" s="37">
        <f t="shared" si="10"/>
        <v>0</v>
      </c>
      <c r="AL14" s="196">
        <f t="shared" si="11"/>
        <v>0</v>
      </c>
      <c r="AM14" s="200">
        <f t="shared" si="16"/>
        <v>0</v>
      </c>
      <c r="AN14" s="102" t="str">
        <f>METEO!CB36</f>
        <v xml:space="preserve"> Ясно</v>
      </c>
      <c r="AO14" s="102" t="str">
        <f>METEO!CY36</f>
        <v>Без осадков</v>
      </c>
      <c r="AP14" s="101" t="str">
        <f t="array" ref="AP14">INDEX(Service1!F72:F116,MATCH(Service2!AN14&amp;Service2!AO14,Service1!C72:C116&amp;Service1!D72:D116,0))</f>
        <v>iconMoon.mov</v>
      </c>
      <c r="AQ14" s="199" t="str">
        <f t="shared" si="12"/>
        <v>800, 0, 800, 0</v>
      </c>
    </row>
    <row r="15" spans="2:43" ht="15.75" thickTop="1" x14ac:dyDescent="0.25">
      <c r="B15" s="136" t="s">
        <v>102</v>
      </c>
      <c r="C15" s="134" t="str">
        <f>CONCATENATE(C13,". ",C9)</f>
        <v>4 октября. Пятница</v>
      </c>
      <c r="F15" s="96" t="str">
        <f>Service1!C14</f>
        <v>Тевриз</v>
      </c>
      <c r="G15" s="46">
        <f>METEO!T14</f>
        <v>14</v>
      </c>
      <c r="H15" s="32" t="str">
        <f t="shared" si="17"/>
        <v>+14°</v>
      </c>
      <c r="I15" s="37">
        <f t="shared" si="0"/>
        <v>814</v>
      </c>
      <c r="J15" s="37">
        <f t="shared" si="1"/>
        <v>12</v>
      </c>
      <c r="K15" s="196">
        <f t="shared" si="2"/>
        <v>800</v>
      </c>
      <c r="L15" s="200">
        <f t="shared" si="13"/>
        <v>800</v>
      </c>
      <c r="M15" s="102" t="str">
        <f>METEO!Z14</f>
        <v xml:space="preserve"> Облачно</v>
      </c>
      <c r="N15" s="102" t="str">
        <f>METEO!AW14</f>
        <v>Без осадков</v>
      </c>
      <c r="O15" s="101" t="str">
        <f t="array" ref="O15">INDEX(Service1!E72:E116,MATCH(Service2!M15&amp;Service2!N15,Service1!C72:C116&amp;Service1!D72:D116,0))</f>
        <v>iconClouds.mov</v>
      </c>
      <c r="P15" s="46">
        <f>METEO!BV14</f>
        <v>4</v>
      </c>
      <c r="Q15" s="32" t="str">
        <f t="shared" si="18"/>
        <v>+4°</v>
      </c>
      <c r="R15" s="37">
        <f t="shared" si="3"/>
        <v>804</v>
      </c>
      <c r="S15" s="37">
        <f t="shared" si="4"/>
        <v>2</v>
      </c>
      <c r="T15" s="196">
        <f t="shared" si="5"/>
        <v>133.33333333333334</v>
      </c>
      <c r="U15" s="200">
        <f t="shared" si="14"/>
        <v>133</v>
      </c>
      <c r="V15" s="102" t="str">
        <f>METEO!CB14</f>
        <v xml:space="preserve"> Облачно</v>
      </c>
      <c r="W15" s="102" t="str">
        <f>METEO!CY14</f>
        <v>Без осадков</v>
      </c>
      <c r="X15" s="101" t="str">
        <f t="array" ref="X15">INDEX(Service1!F72:F116,MATCH(Service2!V15&amp;Service2!W15,Service1!C72:C116&amp;Service1!D72:D116,0))</f>
        <v>iconClouds.mov</v>
      </c>
      <c r="Y15" s="46">
        <f>METEO!T37</f>
        <v>14</v>
      </c>
      <c r="Z15" s="32" t="str">
        <f t="shared" si="19"/>
        <v>+14°</v>
      </c>
      <c r="AA15" s="37">
        <f t="shared" si="6"/>
        <v>814</v>
      </c>
      <c r="AB15" s="201">
        <f t="shared" si="7"/>
        <v>12</v>
      </c>
      <c r="AC15" s="196">
        <f t="shared" si="8"/>
        <v>800</v>
      </c>
      <c r="AD15" s="200">
        <f t="shared" si="15"/>
        <v>800</v>
      </c>
      <c r="AE15" s="102" t="str">
        <f>METEO!Z37</f>
        <v xml:space="preserve"> Облачно с прояснениями</v>
      </c>
      <c r="AF15" s="102" t="str">
        <f>METEO!AW37</f>
        <v>Без осадков</v>
      </c>
      <c r="AG15" s="101" t="str">
        <f t="array" ref="AG15">INDEX(Service1!E72:E116,MATCH(Service2!AE15&amp;Service2!AF15,Service1!C72:C116&amp;Service1!D72:D116,0))</f>
        <v>iconCloudSun.mov</v>
      </c>
      <c r="AH15" s="46">
        <f>METEO!BV37</f>
        <v>2</v>
      </c>
      <c r="AI15" s="32" t="str">
        <f t="shared" si="20"/>
        <v>+2°</v>
      </c>
      <c r="AJ15" s="37">
        <f t="shared" si="9"/>
        <v>802</v>
      </c>
      <c r="AK15" s="37">
        <f t="shared" si="10"/>
        <v>0</v>
      </c>
      <c r="AL15" s="196">
        <f t="shared" si="11"/>
        <v>0</v>
      </c>
      <c r="AM15" s="200">
        <f t="shared" si="16"/>
        <v>0</v>
      </c>
      <c r="AN15" s="102" t="str">
        <f>METEO!CB37</f>
        <v xml:space="preserve"> Облачно с прояснениями</v>
      </c>
      <c r="AO15" s="102" t="str">
        <f>METEO!CY37</f>
        <v>Без осадков</v>
      </c>
      <c r="AP15" s="101" t="str">
        <f t="array" ref="AP15">INDEX(Service1!F72:F116,MATCH(Service2!AN15&amp;Service2!AO15,Service1!C72:C116&amp;Service1!D72:D116,0))</f>
        <v>iconCloudMoon.mov</v>
      </c>
      <c r="AQ15" s="199" t="str">
        <f t="shared" si="12"/>
        <v>800, 133, 800, 0</v>
      </c>
    </row>
    <row r="16" spans="2:43" ht="15.75" thickBot="1" x14ac:dyDescent="0.3">
      <c r="B16" s="137" t="s">
        <v>103</v>
      </c>
      <c r="C16" s="135" t="str">
        <f>CONCATENATE(C14,". ",C10)</f>
        <v>5 октября. Суббота</v>
      </c>
      <c r="F16" s="96" t="str">
        <f>Service1!C15</f>
        <v>Саргатское</v>
      </c>
      <c r="G16" s="46">
        <f>METEO!T15</f>
        <v>16</v>
      </c>
      <c r="H16" s="32" t="str">
        <f t="shared" si="17"/>
        <v>+16°</v>
      </c>
      <c r="I16" s="37">
        <f t="shared" si="0"/>
        <v>816</v>
      </c>
      <c r="J16" s="37">
        <f t="shared" si="1"/>
        <v>15</v>
      </c>
      <c r="K16" s="196">
        <f t="shared" si="2"/>
        <v>800</v>
      </c>
      <c r="L16" s="200">
        <f t="shared" si="13"/>
        <v>800</v>
      </c>
      <c r="M16" s="102" t="str">
        <f>METEO!Z15</f>
        <v xml:space="preserve"> Облачно</v>
      </c>
      <c r="N16" s="102" t="str">
        <f>METEO!AW15</f>
        <v>Без осадков</v>
      </c>
      <c r="O16" s="101" t="str">
        <f t="array" ref="O16">INDEX(Service1!E72:E116,MATCH(Service2!M16&amp;Service2!N16,Service1!C72:C116&amp;Service1!D72:D116,0))</f>
        <v>iconClouds.mov</v>
      </c>
      <c r="P16" s="46">
        <f>METEO!BV15</f>
        <v>1</v>
      </c>
      <c r="Q16" s="32" t="str">
        <f t="shared" si="18"/>
        <v>+1°</v>
      </c>
      <c r="R16" s="37">
        <f t="shared" si="3"/>
        <v>801</v>
      </c>
      <c r="S16" s="37">
        <f t="shared" si="4"/>
        <v>0</v>
      </c>
      <c r="T16" s="196">
        <f t="shared" si="5"/>
        <v>0</v>
      </c>
      <c r="U16" s="200">
        <f t="shared" si="14"/>
        <v>0</v>
      </c>
      <c r="V16" s="102" t="str">
        <f>METEO!CB15</f>
        <v xml:space="preserve"> Облачно с прояснениями</v>
      </c>
      <c r="W16" s="102" t="str">
        <f>METEO!CY15</f>
        <v>Без осадков</v>
      </c>
      <c r="X16" s="101" t="str">
        <f t="array" ref="X16">INDEX(Service1!F72:F116,MATCH(Service2!V16&amp;Service2!W16,Service1!C72:C116&amp;Service1!D72:D116,0))</f>
        <v>iconCloudMoon.mov</v>
      </c>
      <c r="Y16" s="46">
        <f>METEO!T38</f>
        <v>16</v>
      </c>
      <c r="Z16" s="32" t="str">
        <f t="shared" si="19"/>
        <v>+16°</v>
      </c>
      <c r="AA16" s="37">
        <f t="shared" si="6"/>
        <v>816</v>
      </c>
      <c r="AB16" s="201">
        <f t="shared" si="7"/>
        <v>15</v>
      </c>
      <c r="AC16" s="196">
        <f t="shared" si="8"/>
        <v>800</v>
      </c>
      <c r="AD16" s="200">
        <f t="shared" si="15"/>
        <v>800</v>
      </c>
      <c r="AE16" s="102" t="str">
        <f>METEO!Z38</f>
        <v xml:space="preserve"> Облачно с прояснениями</v>
      </c>
      <c r="AF16" s="102" t="str">
        <f>METEO!AW38</f>
        <v>Без осадков</v>
      </c>
      <c r="AG16" s="101" t="str">
        <f t="array" ref="AG16">INDEX(Service1!E72:E116,MATCH(Service2!AE16&amp;Service2!AF16,Service1!C72:C116&amp;Service1!D72:D116,0))</f>
        <v>iconCloudSun.mov</v>
      </c>
      <c r="AH16" s="46">
        <f>METEO!BV38</f>
        <v>1</v>
      </c>
      <c r="AI16" s="32" t="str">
        <f t="shared" si="20"/>
        <v>+1°</v>
      </c>
      <c r="AJ16" s="37">
        <f t="shared" si="9"/>
        <v>801</v>
      </c>
      <c r="AK16" s="37">
        <f t="shared" si="10"/>
        <v>0</v>
      </c>
      <c r="AL16" s="196">
        <f t="shared" si="11"/>
        <v>0</v>
      </c>
      <c r="AM16" s="200">
        <f t="shared" si="16"/>
        <v>0</v>
      </c>
      <c r="AN16" s="102" t="str">
        <f>METEO!CB38</f>
        <v xml:space="preserve"> Облачно с прояснениями</v>
      </c>
      <c r="AO16" s="102" t="str">
        <f>METEO!CY38</f>
        <v>Без осадков</v>
      </c>
      <c r="AP16" s="101" t="str">
        <f t="array" ref="AP16">INDEX(Service1!F72:F116,MATCH(Service2!AN16&amp;Service2!AO16,Service1!C72:C116&amp;Service1!D72:D116,0))</f>
        <v>iconCloudMoon.mov</v>
      </c>
      <c r="AQ16" s="199" t="str">
        <f t="shared" si="12"/>
        <v>800, 0, 800, 0</v>
      </c>
    </row>
    <row r="17" spans="1:43" ht="15.75" thickTop="1" x14ac:dyDescent="0.25">
      <c r="B17" s="136" t="s">
        <v>104</v>
      </c>
      <c r="C17" s="134" t="str">
        <f>CONCATENATE("День, ",TEXT(C5,"Д.ММ"))</f>
        <v>День, 4.10</v>
      </c>
      <c r="F17" s="96" t="str">
        <f>Service1!D9</f>
        <v>Исилькуль</v>
      </c>
      <c r="G17" s="46">
        <f>METEO!T16</f>
        <v>16</v>
      </c>
      <c r="H17" s="32" t="str">
        <f t="shared" si="17"/>
        <v>+16°</v>
      </c>
      <c r="I17" s="37">
        <f t="shared" si="0"/>
        <v>816</v>
      </c>
      <c r="J17" s="37">
        <f t="shared" si="1"/>
        <v>17</v>
      </c>
      <c r="K17" s="196">
        <f t="shared" si="2"/>
        <v>755.55555555555554</v>
      </c>
      <c r="L17" s="200">
        <f t="shared" si="13"/>
        <v>756</v>
      </c>
      <c r="M17" s="102" t="str">
        <f>METEO!Z16</f>
        <v xml:space="preserve"> Облачно</v>
      </c>
      <c r="N17" s="102" t="str">
        <f>METEO!AW16</f>
        <v>Без осадков</v>
      </c>
      <c r="O17" s="101" t="str">
        <f t="array" ref="O17">INDEX(Service1!E72:E116,MATCH(Service2!M17&amp;Service2!N17,Service1!C72:C116&amp;Service1!D72:D116,0))</f>
        <v>iconClouds.mov</v>
      </c>
      <c r="P17" s="46">
        <f>METEO!BV16</f>
        <v>-1</v>
      </c>
      <c r="Q17" s="32" t="str">
        <f t="shared" si="18"/>
        <v>-1°</v>
      </c>
      <c r="R17" s="37">
        <f t="shared" si="3"/>
        <v>799</v>
      </c>
      <c r="S17" s="37">
        <f t="shared" si="4"/>
        <v>0</v>
      </c>
      <c r="T17" s="196">
        <f t="shared" si="5"/>
        <v>0</v>
      </c>
      <c r="U17" s="200">
        <f t="shared" si="14"/>
        <v>0</v>
      </c>
      <c r="V17" s="102" t="str">
        <f>METEO!CB16</f>
        <v xml:space="preserve"> Переменная облачность</v>
      </c>
      <c r="W17" s="102" t="str">
        <f>METEO!CY16</f>
        <v>Без осадков</v>
      </c>
      <c r="X17" s="101" t="str">
        <f t="array" ref="X17">INDEX(Service1!F72:F116,MATCH(Service2!V17&amp;Service2!W17,Service1!C72:C116&amp;Service1!D72:D116,0))</f>
        <v>iconCloudMoon.mov</v>
      </c>
      <c r="Y17" s="46">
        <f>METEO!T39</f>
        <v>17</v>
      </c>
      <c r="Z17" s="32" t="str">
        <f t="shared" si="19"/>
        <v>+17°</v>
      </c>
      <c r="AA17" s="37">
        <f t="shared" si="6"/>
        <v>817</v>
      </c>
      <c r="AB17" s="201">
        <f t="shared" si="7"/>
        <v>18</v>
      </c>
      <c r="AC17" s="196">
        <f t="shared" si="8"/>
        <v>800</v>
      </c>
      <c r="AD17" s="200">
        <f t="shared" si="15"/>
        <v>800</v>
      </c>
      <c r="AE17" s="102" t="str">
        <f>METEO!Z39</f>
        <v xml:space="preserve"> Ясно</v>
      </c>
      <c r="AF17" s="102" t="str">
        <f>METEO!AW39</f>
        <v>Без осадков</v>
      </c>
      <c r="AG17" s="101" t="str">
        <f t="array" ref="AG17">INDEX(Service1!E72:E116,MATCH(Service2!AE17&amp;Service2!AF17,Service1!C72:C116&amp;Service1!D72:D116,0))</f>
        <v>iconSun.mov</v>
      </c>
      <c r="AH17" s="46">
        <f>METEO!BV39</f>
        <v>0</v>
      </c>
      <c r="AI17" s="32" t="str">
        <f t="shared" si="20"/>
        <v>0°</v>
      </c>
      <c r="AJ17" s="37">
        <f t="shared" si="9"/>
        <v>800</v>
      </c>
      <c r="AK17" s="37">
        <f t="shared" si="10"/>
        <v>1</v>
      </c>
      <c r="AL17" s="196">
        <f t="shared" si="11"/>
        <v>44.444444444444443</v>
      </c>
      <c r="AM17" s="200">
        <f t="shared" si="16"/>
        <v>44</v>
      </c>
      <c r="AN17" s="102" t="str">
        <f>METEO!CB39</f>
        <v xml:space="preserve"> Ясно</v>
      </c>
      <c r="AO17" s="102" t="str">
        <f>METEO!CY39</f>
        <v>Без осадков</v>
      </c>
      <c r="AP17" s="101" t="str">
        <f t="array" ref="AP17">INDEX(Service1!F72:F116,MATCH(Service2!AN17&amp;Service2!AO17,Service1!C72:C116&amp;Service1!D72:D116,0))</f>
        <v>iconMoon.mov</v>
      </c>
      <c r="AQ17" s="199" t="str">
        <f t="shared" si="12"/>
        <v>756, 0, 800, 44</v>
      </c>
    </row>
    <row r="18" spans="1:43" ht="15.75" thickBot="1" x14ac:dyDescent="0.3">
      <c r="B18" s="137" t="s">
        <v>105</v>
      </c>
      <c r="C18" s="135" t="str">
        <f>CONCATENATE("Ночь, ",TEXT(C5,"Д.ММ"))</f>
        <v>Ночь, 4.10</v>
      </c>
      <c r="F18" s="96" t="str">
        <f>Service1!D10</f>
        <v>Калачинск</v>
      </c>
      <c r="G18" s="46">
        <f>METEO!T17</f>
        <v>16</v>
      </c>
      <c r="H18" s="32" t="str">
        <f>CONCATENATE(TEXT(G18,"+# ##0;-# ##0;0"),"°")</f>
        <v>+16°</v>
      </c>
      <c r="I18" s="37">
        <f t="shared" si="0"/>
        <v>816</v>
      </c>
      <c r="J18" s="37">
        <f t="shared" si="1"/>
        <v>15</v>
      </c>
      <c r="K18" s="196">
        <f t="shared" si="2"/>
        <v>800</v>
      </c>
      <c r="L18" s="200">
        <f t="shared" si="13"/>
        <v>800</v>
      </c>
      <c r="M18" s="102" t="str">
        <f>METEO!Z17</f>
        <v xml:space="preserve"> Облачно</v>
      </c>
      <c r="N18" s="102" t="str">
        <f>METEO!AW17</f>
        <v>Без осадков</v>
      </c>
      <c r="O18" s="101" t="str">
        <f t="array" ref="O18">INDEX(Service1!E72:E116,MATCH(Service2!M18&amp;Service2!N18,Service1!C72:C116&amp;Service1!D72:D116,0))</f>
        <v>iconClouds.mov</v>
      </c>
      <c r="P18" s="46">
        <f>METEO!BV17</f>
        <v>2</v>
      </c>
      <c r="Q18" s="32" t="str">
        <f t="shared" ref="Q18:Q23" si="21">CONCATENATE(TEXT(P18,"+# ##0;-# ##0;0"),"°")</f>
        <v>+2°</v>
      </c>
      <c r="R18" s="37">
        <f t="shared" si="3"/>
        <v>802</v>
      </c>
      <c r="S18" s="37">
        <f t="shared" si="4"/>
        <v>1</v>
      </c>
      <c r="T18" s="196">
        <f t="shared" si="5"/>
        <v>53.333333333333336</v>
      </c>
      <c r="U18" s="200">
        <f t="shared" si="14"/>
        <v>53</v>
      </c>
      <c r="V18" s="102" t="str">
        <f>METEO!CB17</f>
        <v xml:space="preserve"> Облачно с прояснениями</v>
      </c>
      <c r="W18" s="102" t="str">
        <f>METEO!CY17</f>
        <v>Без осадков</v>
      </c>
      <c r="X18" s="101" t="str">
        <f t="array" ref="X18">INDEX(Service1!F72:F116,MATCH(Service2!V18&amp;Service2!W18,Service1!C72:C116&amp;Service1!D72:D116,0))</f>
        <v>iconCloudMoon.mov</v>
      </c>
      <c r="Y18" s="46">
        <f>METEO!T40</f>
        <v>16</v>
      </c>
      <c r="Z18" s="32" t="str">
        <f t="shared" ref="Z18:Z23" si="22">CONCATENATE(TEXT(Y18,"+# ##0;-# ##0;0"),"°")</f>
        <v>+16°</v>
      </c>
      <c r="AA18" s="37">
        <f t="shared" si="6"/>
        <v>816</v>
      </c>
      <c r="AB18" s="201">
        <f t="shared" si="7"/>
        <v>15</v>
      </c>
      <c r="AC18" s="196">
        <f t="shared" si="8"/>
        <v>800</v>
      </c>
      <c r="AD18" s="200">
        <f t="shared" si="15"/>
        <v>800</v>
      </c>
      <c r="AE18" s="102" t="str">
        <f>METEO!Z40</f>
        <v xml:space="preserve"> Ясно</v>
      </c>
      <c r="AF18" s="102" t="str">
        <f>METEO!AW40</f>
        <v>Без осадков</v>
      </c>
      <c r="AG18" s="101" t="str">
        <f t="array" ref="AG18">INDEX(Service1!E72:E116,MATCH(Service2!AE18&amp;Service2!AF18,Service1!C72:C116&amp;Service1!D72:D116,0))</f>
        <v>iconSun.mov</v>
      </c>
      <c r="AH18" s="46">
        <f>METEO!BV40</f>
        <v>1</v>
      </c>
      <c r="AI18" s="32" t="str">
        <f t="shared" ref="AI18:AI23" si="23">CONCATENATE(TEXT(AH18,"+# ##0;-# ##0;0"),"°")</f>
        <v>+1°</v>
      </c>
      <c r="AJ18" s="37">
        <f t="shared" si="9"/>
        <v>801</v>
      </c>
      <c r="AK18" s="37">
        <f t="shared" si="10"/>
        <v>0</v>
      </c>
      <c r="AL18" s="196">
        <f t="shared" si="11"/>
        <v>0</v>
      </c>
      <c r="AM18" s="200">
        <f t="shared" si="16"/>
        <v>0</v>
      </c>
      <c r="AN18" s="102" t="str">
        <f>METEO!CB40</f>
        <v xml:space="preserve"> Ясно</v>
      </c>
      <c r="AO18" s="102" t="str">
        <f>METEO!CY40</f>
        <v>Без осадков</v>
      </c>
      <c r="AP18" s="101" t="str">
        <f t="array" ref="AP18">INDEX(Service1!F72:F116,MATCH(Service2!AN18&amp;Service2!AO18,Service1!C72:C116&amp;Service1!D72:D116,0))</f>
        <v>iconMoon.mov</v>
      </c>
      <c r="AQ18" s="199" t="str">
        <f t="shared" si="12"/>
        <v>800, 53, 800, 0</v>
      </c>
    </row>
    <row r="19" spans="1:43" ht="15.75" thickTop="1" x14ac:dyDescent="0.25">
      <c r="B19" s="136" t="s">
        <v>106</v>
      </c>
      <c r="C19" s="134" t="str">
        <f>CONCATENATE("День, ",TEXT(C6,"Д.ММ"))</f>
        <v>День, 5.10</v>
      </c>
      <c r="F19" s="96" t="str">
        <f>Service1!D11</f>
        <v>Полтавка</v>
      </c>
      <c r="G19" s="46">
        <f>METEO!T18</f>
        <v>16</v>
      </c>
      <c r="H19" s="32" t="str">
        <f t="shared" si="17"/>
        <v>+16°</v>
      </c>
      <c r="I19" s="37">
        <f t="shared" si="0"/>
        <v>816</v>
      </c>
      <c r="J19" s="37">
        <f t="shared" si="1"/>
        <v>16</v>
      </c>
      <c r="K19" s="196">
        <f t="shared" si="2"/>
        <v>711.11111111111109</v>
      </c>
      <c r="L19" s="200">
        <f t="shared" si="13"/>
        <v>711</v>
      </c>
      <c r="M19" s="102" t="str">
        <f>METEO!Z18</f>
        <v xml:space="preserve"> Облачно</v>
      </c>
      <c r="N19" s="102" t="str">
        <f>METEO!AW18</f>
        <v>Без осадков</v>
      </c>
      <c r="O19" s="101" t="str">
        <f t="array" ref="O19">INDEX(Service1!E72:E116,MATCH(Service2!M19&amp;Service2!N19,Service1!C72:C116&amp;Service1!D72:D116,0))</f>
        <v>iconClouds.mov</v>
      </c>
      <c r="P19" s="46">
        <f>METEO!BV18</f>
        <v>0</v>
      </c>
      <c r="Q19" s="32" t="str">
        <f t="shared" si="21"/>
        <v>0°</v>
      </c>
      <c r="R19" s="37">
        <f t="shared" si="3"/>
        <v>800</v>
      </c>
      <c r="S19" s="37">
        <f t="shared" si="4"/>
        <v>0</v>
      </c>
      <c r="T19" s="196">
        <f t="shared" si="5"/>
        <v>0</v>
      </c>
      <c r="U19" s="200">
        <f t="shared" si="14"/>
        <v>0</v>
      </c>
      <c r="V19" s="102" t="str">
        <f>METEO!CB18</f>
        <v xml:space="preserve"> Облачно с прояснениями</v>
      </c>
      <c r="W19" s="102" t="str">
        <f>METEO!CY18</f>
        <v>Без осадков</v>
      </c>
      <c r="X19" s="101" t="str">
        <f t="array" ref="X19">INDEX(Service1!F72:F116,MATCH(Service2!V19&amp;Service2!W19,Service1!C72:C116&amp;Service1!D72:D116,0))</f>
        <v>iconCloudMoon.mov</v>
      </c>
      <c r="Y19" s="46">
        <f>METEO!T41</f>
        <v>18</v>
      </c>
      <c r="Z19" s="32" t="str">
        <f t="shared" si="22"/>
        <v>+18°</v>
      </c>
      <c r="AA19" s="37">
        <f t="shared" si="6"/>
        <v>818</v>
      </c>
      <c r="AB19" s="201">
        <f t="shared" si="7"/>
        <v>18</v>
      </c>
      <c r="AC19" s="196">
        <f t="shared" si="8"/>
        <v>800</v>
      </c>
      <c r="AD19" s="200">
        <f t="shared" si="15"/>
        <v>800</v>
      </c>
      <c r="AE19" s="102" t="str">
        <f>METEO!Z41</f>
        <v xml:space="preserve"> Ясно</v>
      </c>
      <c r="AF19" s="102" t="str">
        <f>METEO!AW41</f>
        <v>Без осадков</v>
      </c>
      <c r="AG19" s="101" t="str">
        <f t="array" ref="AG19">INDEX(Service1!E72:E116,MATCH(Service2!AE19&amp;Service2!AF19,Service1!C72:C116&amp;Service1!D72:D116,0))</f>
        <v>iconSun.mov</v>
      </c>
      <c r="AH19" s="46">
        <f>METEO!BV41</f>
        <v>0</v>
      </c>
      <c r="AI19" s="32" t="str">
        <f t="shared" si="23"/>
        <v>0°</v>
      </c>
      <c r="AJ19" s="37">
        <f t="shared" si="9"/>
        <v>800</v>
      </c>
      <c r="AK19" s="37">
        <f t="shared" si="10"/>
        <v>0</v>
      </c>
      <c r="AL19" s="196">
        <f t="shared" si="11"/>
        <v>0</v>
      </c>
      <c r="AM19" s="200">
        <f t="shared" si="16"/>
        <v>0</v>
      </c>
      <c r="AN19" s="102" t="str">
        <f>METEO!CB41</f>
        <v xml:space="preserve"> Ясно</v>
      </c>
      <c r="AO19" s="102" t="str">
        <f>METEO!CY41</f>
        <v>Без осадков</v>
      </c>
      <c r="AP19" s="101" t="str">
        <f t="array" ref="AP19">INDEX(Service1!F72:F116,MATCH(Service2!AN19&amp;Service2!AO19,Service1!C72:C116&amp;Service1!D72:D116,0))</f>
        <v>iconMoon.mov</v>
      </c>
      <c r="AQ19" s="199" t="str">
        <f t="shared" si="12"/>
        <v>711, 0, 800, 0</v>
      </c>
    </row>
    <row r="20" spans="1:43" ht="15.75" thickBot="1" x14ac:dyDescent="0.3">
      <c r="B20" s="137" t="s">
        <v>107</v>
      </c>
      <c r="C20" s="135" t="str">
        <f>CONCATENATE("Ночь, ",TEXT(C6,"Д.ММ"))</f>
        <v>Ночь, 5.10</v>
      </c>
      <c r="F20" s="96" t="str">
        <f>Service1!D12</f>
        <v>Русская Поляна</v>
      </c>
      <c r="G20" s="46">
        <f>METEO!T19</f>
        <v>15</v>
      </c>
      <c r="H20" s="32" t="str">
        <f t="shared" si="17"/>
        <v>+15°</v>
      </c>
      <c r="I20" s="37">
        <f t="shared" si="0"/>
        <v>815</v>
      </c>
      <c r="J20" s="37">
        <f t="shared" si="1"/>
        <v>14</v>
      </c>
      <c r="K20" s="196">
        <f t="shared" si="2"/>
        <v>700</v>
      </c>
      <c r="L20" s="200">
        <f t="shared" si="13"/>
        <v>700</v>
      </c>
      <c r="M20" s="102" t="str">
        <f>METEO!Z19</f>
        <v xml:space="preserve"> Облачно с прояснениями</v>
      </c>
      <c r="N20" s="102" t="str">
        <f>METEO!AW19</f>
        <v>Без осадков</v>
      </c>
      <c r="O20" s="101" t="str">
        <f t="array" ref="O20">INDEX(Service1!E72:E116,MATCH(Service2!M20&amp;Service2!N20,Service1!C72:C116&amp;Service1!D72:D116,0))</f>
        <v>iconCloudSun.mov</v>
      </c>
      <c r="P20" s="46">
        <f>METEO!BV19</f>
        <v>1</v>
      </c>
      <c r="Q20" s="32" t="str">
        <f t="shared" si="21"/>
        <v>+1°</v>
      </c>
      <c r="R20" s="37">
        <f t="shared" si="3"/>
        <v>801</v>
      </c>
      <c r="S20" s="37">
        <f t="shared" si="4"/>
        <v>0</v>
      </c>
      <c r="T20" s="196">
        <f t="shared" si="5"/>
        <v>0</v>
      </c>
      <c r="U20" s="200">
        <f t="shared" si="14"/>
        <v>0</v>
      </c>
      <c r="V20" s="102" t="str">
        <f>METEO!CB19</f>
        <v xml:space="preserve"> Переменная облачность</v>
      </c>
      <c r="W20" s="102" t="str">
        <f>METEO!CY19</f>
        <v>Без осадков</v>
      </c>
      <c r="X20" s="101" t="str">
        <f t="array" ref="X20">INDEX(Service1!F72:F116,MATCH(Service2!V20&amp;Service2!W20,Service1!C72:C116&amp;Service1!D72:D116,0))</f>
        <v>iconCloudMoon.mov</v>
      </c>
      <c r="Y20" s="46">
        <f>METEO!T42</f>
        <v>17</v>
      </c>
      <c r="Z20" s="32" t="str">
        <f t="shared" si="22"/>
        <v>+17°</v>
      </c>
      <c r="AA20" s="37">
        <f t="shared" si="6"/>
        <v>817</v>
      </c>
      <c r="AB20" s="201">
        <f t="shared" si="7"/>
        <v>16</v>
      </c>
      <c r="AC20" s="196">
        <f t="shared" si="8"/>
        <v>800</v>
      </c>
      <c r="AD20" s="200">
        <f t="shared" si="15"/>
        <v>800</v>
      </c>
      <c r="AE20" s="102" t="str">
        <f>METEO!Z42</f>
        <v xml:space="preserve"> Ясно</v>
      </c>
      <c r="AF20" s="102" t="str">
        <f>METEO!AW42</f>
        <v>Без осадков</v>
      </c>
      <c r="AG20" s="101" t="str">
        <f t="array" ref="AG20">INDEX(Service1!E72:E116,MATCH(Service2!AE20&amp;Service2!AF20,Service1!C72:C116&amp;Service1!D72:D116,0))</f>
        <v>iconSun.mov</v>
      </c>
      <c r="AH20" s="46">
        <f>METEO!BV42</f>
        <v>2</v>
      </c>
      <c r="AI20" s="32" t="str">
        <f t="shared" si="23"/>
        <v>+2°</v>
      </c>
      <c r="AJ20" s="37">
        <f t="shared" si="9"/>
        <v>802</v>
      </c>
      <c r="AK20" s="37">
        <f t="shared" si="10"/>
        <v>1</v>
      </c>
      <c r="AL20" s="196">
        <f t="shared" si="11"/>
        <v>50</v>
      </c>
      <c r="AM20" s="200">
        <f t="shared" si="16"/>
        <v>50</v>
      </c>
      <c r="AN20" s="102" t="str">
        <f>METEO!CB42</f>
        <v xml:space="preserve"> Ясно</v>
      </c>
      <c r="AO20" s="102" t="str">
        <f>METEO!CY42</f>
        <v>Без осадков</v>
      </c>
      <c r="AP20" s="101" t="str">
        <f t="array" ref="AP20">INDEX(Service1!F72:F116,MATCH(Service2!AN20&amp;Service2!AO20,Service1!C72:C116&amp;Service1!D72:D116,0))</f>
        <v>iconMoon.mov</v>
      </c>
      <c r="AQ20" s="199" t="str">
        <f t="shared" si="12"/>
        <v>700, 0, 800, 50</v>
      </c>
    </row>
    <row r="21" spans="1:43" ht="16.5" thickTop="1" thickBot="1" x14ac:dyDescent="0.3">
      <c r="B21" s="138" t="s">
        <v>108</v>
      </c>
      <c r="C21" s="139" t="str">
        <f>CONCATENATE("Прогноз на ",VLOOKUP(C7,Таблица4[],3,FALSE)," и ",VLOOKUP(C8,Таблица4[],3,FALSE))</f>
        <v>Прогноз на пятницу и субботу</v>
      </c>
      <c r="F21" s="96" t="str">
        <f>Service1!D13</f>
        <v>Черлак</v>
      </c>
      <c r="G21" s="46">
        <f>METEO!T20</f>
        <v>16</v>
      </c>
      <c r="H21" s="32" t="str">
        <f t="shared" si="17"/>
        <v>+16°</v>
      </c>
      <c r="I21" s="37">
        <f t="shared" si="0"/>
        <v>816</v>
      </c>
      <c r="J21" s="37">
        <f t="shared" si="1"/>
        <v>15</v>
      </c>
      <c r="K21" s="196">
        <f t="shared" si="2"/>
        <v>750</v>
      </c>
      <c r="L21" s="200">
        <f t="shared" si="13"/>
        <v>750</v>
      </c>
      <c r="M21" s="102" t="str">
        <f>METEO!Z20</f>
        <v xml:space="preserve"> Облачно</v>
      </c>
      <c r="N21" s="102" t="str">
        <f>METEO!AW20</f>
        <v>Без осадков</v>
      </c>
      <c r="O21" s="101" t="str">
        <f t="array" ref="O21">INDEX(Service1!E72:E116,MATCH(Service2!M21&amp;Service2!N21,Service1!C72:C116&amp;Service1!D72:D116,0))</f>
        <v>iconClouds.mov</v>
      </c>
      <c r="P21" s="46">
        <f>METEO!BV20</f>
        <v>1</v>
      </c>
      <c r="Q21" s="32" t="str">
        <f t="shared" si="21"/>
        <v>+1°</v>
      </c>
      <c r="R21" s="37">
        <f t="shared" si="3"/>
        <v>801</v>
      </c>
      <c r="S21" s="37">
        <f t="shared" si="4"/>
        <v>0</v>
      </c>
      <c r="T21" s="196">
        <f t="shared" si="5"/>
        <v>0</v>
      </c>
      <c r="U21" s="200">
        <f t="shared" si="14"/>
        <v>0</v>
      </c>
      <c r="V21" s="102" t="str">
        <f>METEO!CB20</f>
        <v xml:space="preserve"> Переменная облачность</v>
      </c>
      <c r="W21" s="102" t="str">
        <f>METEO!CY20</f>
        <v>Без осадков</v>
      </c>
      <c r="X21" s="101" t="str">
        <f t="array" ref="X21">INDEX(Service1!F72:F116,MATCH(Service2!V21&amp;Service2!W21,Service1!C72:C116&amp;Service1!D72:D116,0))</f>
        <v>iconCloudMoon.mov</v>
      </c>
      <c r="Y21" s="46">
        <f>METEO!T43</f>
        <v>17</v>
      </c>
      <c r="Z21" s="32" t="str">
        <f t="shared" si="22"/>
        <v>+17°</v>
      </c>
      <c r="AA21" s="37">
        <f t="shared" si="6"/>
        <v>817</v>
      </c>
      <c r="AB21" s="201">
        <f t="shared" si="7"/>
        <v>16</v>
      </c>
      <c r="AC21" s="196">
        <f t="shared" si="8"/>
        <v>800</v>
      </c>
      <c r="AD21" s="200">
        <f t="shared" si="15"/>
        <v>800</v>
      </c>
      <c r="AE21" s="102" t="str">
        <f>METEO!Z43</f>
        <v xml:space="preserve"> Ясно</v>
      </c>
      <c r="AF21" s="102" t="str">
        <f>METEO!AW43</f>
        <v>Без осадков</v>
      </c>
      <c r="AG21" s="101" t="str">
        <f t="array" ref="AG21">INDEX(Service1!E72:E116,MATCH(Service2!AE21&amp;Service2!AF21,Service1!C72:C116&amp;Service1!D72:D116,0))</f>
        <v>iconSun.mov</v>
      </c>
      <c r="AH21" s="46">
        <f>METEO!BV43</f>
        <v>2</v>
      </c>
      <c r="AI21" s="32" t="str">
        <f t="shared" si="23"/>
        <v>+2°</v>
      </c>
      <c r="AJ21" s="37">
        <f t="shared" si="9"/>
        <v>802</v>
      </c>
      <c r="AK21" s="37">
        <f t="shared" si="10"/>
        <v>1</v>
      </c>
      <c r="AL21" s="196">
        <f t="shared" si="11"/>
        <v>50</v>
      </c>
      <c r="AM21" s="200">
        <f t="shared" si="16"/>
        <v>50</v>
      </c>
      <c r="AN21" s="102" t="str">
        <f>METEO!CB43</f>
        <v xml:space="preserve"> Ясно</v>
      </c>
      <c r="AO21" s="102" t="str">
        <f>METEO!CY43</f>
        <v>Без осадков</v>
      </c>
      <c r="AP21" s="101" t="str">
        <f t="array" ref="AP21">INDEX(Service1!F72:F116,MATCH(Service2!AN21&amp;Service2!AO21,Service1!C72:C116&amp;Service1!D72:D116,0))</f>
        <v>iconMoon.mov</v>
      </c>
      <c r="AQ21" s="199" t="str">
        <f t="shared" si="12"/>
        <v>750, 0, 800, 50</v>
      </c>
    </row>
    <row r="22" spans="1:43" ht="16.5" thickTop="1" thickBot="1" x14ac:dyDescent="0.3">
      <c r="F22" s="96" t="str">
        <f>Service1!D14</f>
        <v>Одесское</v>
      </c>
      <c r="G22" s="46">
        <f>METEO!T21</f>
        <v>16</v>
      </c>
      <c r="H22" s="32" t="str">
        <f t="shared" si="17"/>
        <v>+16°</v>
      </c>
      <c r="I22" s="37">
        <f t="shared" si="0"/>
        <v>816</v>
      </c>
      <c r="J22" s="37">
        <f t="shared" si="1"/>
        <v>15</v>
      </c>
      <c r="K22" s="196">
        <f t="shared" si="2"/>
        <v>750</v>
      </c>
      <c r="L22" s="200">
        <f t="shared" si="13"/>
        <v>750</v>
      </c>
      <c r="M22" s="102" t="str">
        <f>METEO!Z21</f>
        <v xml:space="preserve"> Облачно</v>
      </c>
      <c r="N22" s="102" t="str">
        <f>METEO!AW21</f>
        <v>Без осадков</v>
      </c>
      <c r="O22" s="101" t="str">
        <f t="array" ref="O22">INDEX(Service1!E72:E116,MATCH(Service2!M22&amp;Service2!N22,Service1!C72:C116&amp;Service1!D72:D116,0))</f>
        <v>iconClouds.mov</v>
      </c>
      <c r="P22" s="46">
        <f>METEO!BV21</f>
        <v>1</v>
      </c>
      <c r="Q22" s="32" t="str">
        <f t="shared" si="21"/>
        <v>+1°</v>
      </c>
      <c r="R22" s="37">
        <f t="shared" si="3"/>
        <v>801</v>
      </c>
      <c r="S22" s="37">
        <f t="shared" si="4"/>
        <v>0</v>
      </c>
      <c r="T22" s="196">
        <f t="shared" si="5"/>
        <v>0</v>
      </c>
      <c r="U22" s="200">
        <f t="shared" si="14"/>
        <v>0</v>
      </c>
      <c r="V22" s="102" t="str">
        <f>METEO!CB21</f>
        <v xml:space="preserve"> Переменная облачность</v>
      </c>
      <c r="W22" s="102" t="str">
        <f>METEO!CY21</f>
        <v>Без осадков</v>
      </c>
      <c r="X22" s="101" t="str">
        <f t="array" ref="X22">INDEX(Service1!F72:F116,MATCH(Service2!V22&amp;Service2!W22,Service1!C72:C116&amp;Service1!D72:D116,0))</f>
        <v>iconCloudMoon.mov</v>
      </c>
      <c r="Y22" s="46">
        <f>METEO!T44</f>
        <v>17</v>
      </c>
      <c r="Z22" s="32" t="str">
        <f t="shared" si="22"/>
        <v>+17°</v>
      </c>
      <c r="AA22" s="37">
        <f t="shared" si="6"/>
        <v>817</v>
      </c>
      <c r="AB22" s="201">
        <f t="shared" si="7"/>
        <v>16</v>
      </c>
      <c r="AC22" s="196">
        <f t="shared" si="8"/>
        <v>800</v>
      </c>
      <c r="AD22" s="200">
        <f t="shared" si="15"/>
        <v>800</v>
      </c>
      <c r="AE22" s="102" t="str">
        <f>METEO!Z44</f>
        <v xml:space="preserve"> Ясно</v>
      </c>
      <c r="AF22" s="102" t="str">
        <f>METEO!AW44</f>
        <v>Без осадков</v>
      </c>
      <c r="AG22" s="101" t="str">
        <f t="array" ref="AG22">INDEX(Service1!E72:E116,MATCH(Service2!AE22&amp;Service2!AF22,Service1!C72:C116&amp;Service1!D72:D116,0))</f>
        <v>iconSun.mov</v>
      </c>
      <c r="AH22" s="46">
        <f>METEO!BV44</f>
        <v>1</v>
      </c>
      <c r="AI22" s="32" t="str">
        <f t="shared" si="23"/>
        <v>+1°</v>
      </c>
      <c r="AJ22" s="37">
        <f t="shared" si="9"/>
        <v>801</v>
      </c>
      <c r="AK22" s="37">
        <f t="shared" si="10"/>
        <v>0</v>
      </c>
      <c r="AL22" s="196">
        <f t="shared" si="11"/>
        <v>0</v>
      </c>
      <c r="AM22" s="200">
        <f t="shared" si="16"/>
        <v>0</v>
      </c>
      <c r="AN22" s="102" t="str">
        <f>METEO!CB44</f>
        <v xml:space="preserve"> Ясно</v>
      </c>
      <c r="AO22" s="102" t="str">
        <f>METEO!CY44</f>
        <v>Без осадков</v>
      </c>
      <c r="AP22" s="101" t="str">
        <f t="array" ref="AP22">INDEX(Service1!F72:F116,MATCH(Service2!AN22&amp;Service2!AO22,Service1!C72:C116&amp;Service1!D72:D116,0))</f>
        <v>iconMoon.mov</v>
      </c>
      <c r="AQ22" s="199" t="str">
        <f t="shared" si="12"/>
        <v>750, 0, 800, 0</v>
      </c>
    </row>
    <row r="23" spans="1:43" ht="16.5" thickTop="1" thickBot="1" x14ac:dyDescent="0.3">
      <c r="B23" s="185" t="s">
        <v>151</v>
      </c>
      <c r="C23" s="205" t="str">
        <f>CONCATENATE("Погода в ",Service1!M16)</f>
        <v>Погода в Омской области</v>
      </c>
      <c r="D23" s="206"/>
      <c r="F23" s="96" t="str">
        <f>Service1!D15</f>
        <v>Павлоградка</v>
      </c>
      <c r="G23" s="47">
        <f>METEO!T22</f>
        <v>16</v>
      </c>
      <c r="H23" s="39" t="str">
        <f t="shared" si="17"/>
        <v>+16°</v>
      </c>
      <c r="I23" s="38">
        <f t="shared" si="0"/>
        <v>816</v>
      </c>
      <c r="J23" s="38">
        <f t="shared" si="1"/>
        <v>15</v>
      </c>
      <c r="K23" s="197">
        <f t="shared" si="2"/>
        <v>750</v>
      </c>
      <c r="L23" s="204">
        <f t="shared" si="13"/>
        <v>750</v>
      </c>
      <c r="M23" s="144" t="str">
        <f>METEO!Z22</f>
        <v xml:space="preserve"> Облачно</v>
      </c>
      <c r="N23" s="144" t="str">
        <f>METEO!AW22</f>
        <v>Без осадков</v>
      </c>
      <c r="O23" s="145" t="str">
        <f t="array" ref="O23">INDEX(Service1!E72:E116,MATCH(Service2!M23&amp;Service2!N23,Service1!C72:C116&amp;Service1!D72:D116,0))</f>
        <v>iconClouds.mov</v>
      </c>
      <c r="P23" s="47">
        <f>METEO!BV22</f>
        <v>1</v>
      </c>
      <c r="Q23" s="39" t="str">
        <f t="shared" si="21"/>
        <v>+1°</v>
      </c>
      <c r="R23" s="38">
        <f t="shared" si="3"/>
        <v>801</v>
      </c>
      <c r="S23" s="38">
        <f t="shared" si="4"/>
        <v>0</v>
      </c>
      <c r="T23" s="197">
        <f t="shared" si="5"/>
        <v>0</v>
      </c>
      <c r="U23" s="204">
        <f t="shared" si="14"/>
        <v>0</v>
      </c>
      <c r="V23" s="144" t="str">
        <f>METEO!CB22</f>
        <v xml:space="preserve"> Переменная облачность</v>
      </c>
      <c r="W23" s="144" t="str">
        <f>METEO!CY22</f>
        <v>Без осадков</v>
      </c>
      <c r="X23" s="145" t="str">
        <f t="array" ref="X23">INDEX(Service1!F72:F116,MATCH(Service2!V23&amp;Service2!W23,Service1!C72:C116&amp;Service1!D72:D116,0))</f>
        <v>iconCloudMoon.mov</v>
      </c>
      <c r="Y23" s="47">
        <f>METEO!T45</f>
        <v>17</v>
      </c>
      <c r="Z23" s="39" t="str">
        <f t="shared" si="22"/>
        <v>+17°</v>
      </c>
      <c r="AA23" s="38">
        <f t="shared" si="6"/>
        <v>817</v>
      </c>
      <c r="AB23" s="202">
        <f t="shared" si="7"/>
        <v>16</v>
      </c>
      <c r="AC23" s="197">
        <f t="shared" si="8"/>
        <v>800</v>
      </c>
      <c r="AD23" s="204">
        <f t="shared" si="15"/>
        <v>800</v>
      </c>
      <c r="AE23" s="144" t="str">
        <f>METEO!Z45</f>
        <v xml:space="preserve"> Ясно</v>
      </c>
      <c r="AF23" s="144" t="str">
        <f>METEO!AW45</f>
        <v>Без осадков</v>
      </c>
      <c r="AG23" s="145" t="str">
        <f t="array" ref="AG23">INDEX(Service1!E72:E116,MATCH(Service2!AE23&amp;Service2!AF23,Service1!C72:C116&amp;Service1!D72:D116,0))</f>
        <v>iconSun.mov</v>
      </c>
      <c r="AH23" s="47">
        <f>METEO!BV45</f>
        <v>1</v>
      </c>
      <c r="AI23" s="39" t="str">
        <f t="shared" si="23"/>
        <v>+1°</v>
      </c>
      <c r="AJ23" s="38">
        <f t="shared" si="9"/>
        <v>801</v>
      </c>
      <c r="AK23" s="38">
        <f t="shared" si="10"/>
        <v>0</v>
      </c>
      <c r="AL23" s="197">
        <f t="shared" si="11"/>
        <v>0</v>
      </c>
      <c r="AM23" s="204">
        <f t="shared" si="16"/>
        <v>0</v>
      </c>
      <c r="AN23" s="144" t="str">
        <f>METEO!CB45</f>
        <v xml:space="preserve"> Ясно</v>
      </c>
      <c r="AO23" s="144" t="str">
        <f>METEO!CY45</f>
        <v>Без осадков</v>
      </c>
      <c r="AP23" s="145" t="str">
        <f t="array" ref="AP23">INDEX(Service1!F72:F116,MATCH(Service2!AN23&amp;Service2!AO23,Service1!C72:C116&amp;Service1!D72:D116,0))</f>
        <v>iconMoon.mov</v>
      </c>
      <c r="AQ23" s="203" t="str">
        <f t="shared" si="12"/>
        <v>750, 0, 800, 0</v>
      </c>
    </row>
    <row r="24" spans="1:43" ht="16.5" thickTop="1" thickBot="1" x14ac:dyDescent="0.3">
      <c r="B24" s="185" t="s">
        <v>152</v>
      </c>
      <c r="C24" s="205" t="str">
        <f>CONCATENATE("Погода в ",Service1!M17)</f>
        <v>Погода в Омске</v>
      </c>
      <c r="D24" s="206"/>
      <c r="Q24" s="1"/>
      <c r="R24" s="1"/>
      <c r="S24" s="1"/>
      <c r="T24" s="1"/>
      <c r="U24" s="1"/>
      <c r="V24" s="1"/>
      <c r="W24" s="1"/>
      <c r="X24" s="1"/>
    </row>
    <row r="25" spans="1:43" ht="16.5" thickTop="1" thickBot="1" x14ac:dyDescent="0.3">
      <c r="B25" s="185" t="s">
        <v>155</v>
      </c>
      <c r="C25" s="207" t="str">
        <f>CONCATENATE("По информации ",Service1!M19)</f>
        <v>По информации Омского гидрометцентра</v>
      </c>
      <c r="D25" s="206"/>
      <c r="Q25" s="1"/>
      <c r="R25" s="1"/>
      <c r="S25" s="1"/>
      <c r="T25" s="1"/>
      <c r="U25" s="1"/>
      <c r="V25" s="1"/>
      <c r="W25" s="1"/>
      <c r="X25" s="1"/>
    </row>
    <row r="26" spans="1:43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06"/>
      <c r="N26" s="106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43" x14ac:dyDescent="0.25">
      <c r="A27" s="1"/>
      <c r="B27" s="1"/>
      <c r="C27" s="1"/>
      <c r="D27" s="1"/>
      <c r="E27" s="1"/>
      <c r="F27" s="1"/>
      <c r="G27" s="1"/>
      <c r="H27" s="1"/>
      <c r="I27" s="1"/>
      <c r="J27" s="100"/>
      <c r="K27" s="1"/>
      <c r="L27" s="100"/>
      <c r="M27" s="106"/>
      <c r="N27" s="106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4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06"/>
      <c r="N28" s="106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4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00"/>
      <c r="L29" s="100"/>
      <c r="M29" s="106"/>
      <c r="N29" s="106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4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06"/>
      <c r="N30" s="106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4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06"/>
      <c r="N31" s="106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4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06"/>
      <c r="N32" s="106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06"/>
      <c r="N33" s="106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34"/>
      <c r="J34" s="1"/>
      <c r="K34" s="1"/>
      <c r="L34" s="1"/>
      <c r="M34" s="106"/>
      <c r="N34" s="106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06"/>
      <c r="N35" s="106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06"/>
      <c r="N36" s="106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06"/>
      <c r="N37" s="106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06"/>
      <c r="N38" s="106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06"/>
      <c r="N39" s="106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06"/>
      <c r="N40" s="106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06"/>
      <c r="N41" s="106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06"/>
      <c r="N42" s="106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06"/>
      <c r="N43" s="106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06"/>
      <c r="N44" s="106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06"/>
      <c r="N45" s="10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06"/>
      <c r="N46" s="106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06"/>
      <c r="N47" s="106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06"/>
      <c r="N48" s="106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06"/>
      <c r="N49" s="106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06"/>
      <c r="N50" s="106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06"/>
      <c r="N51" s="106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06"/>
      <c r="N52" s="106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06"/>
      <c r="N53" s="106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06"/>
      <c r="N54" s="106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06"/>
      <c r="N55" s="106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06"/>
      <c r="N56" s="106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06"/>
      <c r="N57" s="106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06"/>
      <c r="N58" s="106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06"/>
      <c r="N59" s="106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06"/>
      <c r="N60" s="106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06"/>
      <c r="N61" s="106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06"/>
      <c r="N62" s="106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06"/>
      <c r="N63" s="106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06"/>
      <c r="N64" s="106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06"/>
      <c r="N65" s="106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06"/>
      <c r="N66" s="106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06"/>
      <c r="N67" s="106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06"/>
      <c r="N68" s="106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06"/>
      <c r="N69" s="106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06"/>
      <c r="N70" s="106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06"/>
      <c r="N71" s="106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06"/>
      <c r="N72" s="106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06"/>
      <c r="N73" s="106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06"/>
      <c r="N74" s="106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06"/>
      <c r="N75" s="106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06"/>
      <c r="N76" s="106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06"/>
      <c r="N77" s="106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06"/>
      <c r="N78" s="106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06"/>
      <c r="N79" s="106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06"/>
      <c r="N80" s="106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5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06"/>
      <c r="N81" s="106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5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06"/>
      <c r="N82" s="106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50" x14ac:dyDescent="0.25">
      <c r="A83" s="1"/>
      <c r="B83" s="1"/>
      <c r="C83" s="1"/>
      <c r="D83" s="1"/>
      <c r="E83" s="1"/>
      <c r="F83" s="49"/>
      <c r="G83" s="49"/>
      <c r="H83" s="49"/>
      <c r="I83" s="49"/>
      <c r="J83" s="49"/>
      <c r="K83" s="49"/>
      <c r="L83" s="49"/>
      <c r="M83" s="107"/>
      <c r="N83" s="107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</row>
    <row r="84" spans="1:50" x14ac:dyDescent="0.25">
      <c r="A84" s="1"/>
      <c r="B84" s="1"/>
      <c r="C84" s="1"/>
      <c r="D84" s="1"/>
      <c r="E84" s="1"/>
      <c r="F84" s="49"/>
      <c r="G84" s="49"/>
      <c r="H84" s="49"/>
      <c r="I84" s="49"/>
      <c r="J84" s="49"/>
      <c r="K84" s="49"/>
      <c r="L84" s="49"/>
      <c r="M84" s="107"/>
      <c r="N84" s="107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</row>
    <row r="85" spans="1:50" x14ac:dyDescent="0.25">
      <c r="A85" s="1"/>
      <c r="B85" s="1"/>
      <c r="C85" s="1"/>
      <c r="D85" s="1"/>
      <c r="E85" s="1"/>
      <c r="F85" s="49"/>
      <c r="G85" s="49"/>
      <c r="H85" s="49"/>
      <c r="I85" s="49"/>
      <c r="J85" s="49"/>
      <c r="K85" s="49"/>
      <c r="L85" s="49"/>
      <c r="M85" s="107"/>
      <c r="N85" s="107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</row>
    <row r="86" spans="1:50" x14ac:dyDescent="0.25">
      <c r="A86" s="1"/>
      <c r="B86" s="1"/>
      <c r="C86" s="1"/>
      <c r="D86" s="1"/>
      <c r="E86" s="1"/>
      <c r="F86" s="49"/>
      <c r="G86" s="49"/>
      <c r="H86" s="49"/>
      <c r="I86" s="49"/>
      <c r="J86" s="49"/>
      <c r="K86" s="49"/>
      <c r="L86" s="49"/>
      <c r="M86" s="107"/>
      <c r="N86" s="107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</row>
    <row r="87" spans="1:50" x14ac:dyDescent="0.25">
      <c r="A87" s="1"/>
      <c r="B87" s="1"/>
      <c r="C87" s="1"/>
      <c r="D87" s="1"/>
      <c r="E87" s="1"/>
      <c r="F87" s="49"/>
      <c r="G87" s="49"/>
      <c r="H87" s="49"/>
      <c r="I87" s="49"/>
      <c r="J87" s="49"/>
      <c r="K87" s="49"/>
      <c r="L87" s="49"/>
      <c r="M87" s="107"/>
      <c r="N87" s="107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</row>
    <row r="88" spans="1:50" x14ac:dyDescent="0.25">
      <c r="A88" s="1"/>
      <c r="B88" s="1"/>
      <c r="C88" s="1"/>
      <c r="D88" s="1"/>
      <c r="E88" s="1"/>
      <c r="F88" s="49"/>
      <c r="G88" s="49"/>
      <c r="H88" s="49"/>
      <c r="I88" s="49"/>
      <c r="J88" s="49"/>
      <c r="K88" s="49"/>
      <c r="L88" s="49"/>
      <c r="M88" s="107"/>
      <c r="N88" s="107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</row>
    <row r="89" spans="1:50" x14ac:dyDescent="0.25">
      <c r="A89" s="1"/>
      <c r="B89" s="1"/>
      <c r="C89" s="1"/>
      <c r="D89" s="1"/>
      <c r="E89" s="1"/>
      <c r="F89" s="49"/>
      <c r="G89" s="49"/>
      <c r="H89" s="49"/>
      <c r="I89" s="49"/>
      <c r="J89" s="49"/>
      <c r="K89" s="49"/>
      <c r="L89" s="49"/>
      <c r="M89" s="107"/>
      <c r="N89" s="107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</row>
    <row r="90" spans="1:50" x14ac:dyDescent="0.25">
      <c r="A90" s="1"/>
      <c r="B90" s="1"/>
      <c r="C90" s="1"/>
      <c r="D90" s="1"/>
      <c r="E90" s="1"/>
      <c r="F90" s="49"/>
      <c r="G90" s="49"/>
      <c r="H90" s="49"/>
      <c r="I90" s="49"/>
      <c r="J90" s="49"/>
      <c r="K90" s="49"/>
      <c r="L90" s="49"/>
      <c r="M90" s="107"/>
      <c r="N90" s="107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</row>
    <row r="91" spans="1:50" x14ac:dyDescent="0.25">
      <c r="A91" s="1"/>
      <c r="B91" s="1"/>
      <c r="C91" s="1"/>
      <c r="D91" s="1"/>
      <c r="E91" s="1"/>
      <c r="F91" s="49"/>
      <c r="G91" s="49"/>
      <c r="H91" s="49"/>
      <c r="I91" s="49"/>
      <c r="J91" s="49"/>
      <c r="K91" s="49"/>
      <c r="L91" s="49"/>
      <c r="M91" s="107"/>
      <c r="N91" s="107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</row>
    <row r="92" spans="1:50" x14ac:dyDescent="0.25">
      <c r="F92" s="49"/>
      <c r="G92" s="49"/>
      <c r="H92" s="49"/>
      <c r="I92" s="49"/>
      <c r="J92" s="49"/>
      <c r="K92" s="49"/>
      <c r="L92" s="49"/>
      <c r="M92" s="107"/>
      <c r="N92" s="107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</row>
    <row r="93" spans="1:50" x14ac:dyDescent="0.25">
      <c r="F93" s="49"/>
      <c r="G93" s="49"/>
      <c r="H93" s="49"/>
      <c r="I93" s="49"/>
      <c r="J93" s="49"/>
      <c r="K93" s="49"/>
      <c r="L93" s="49"/>
      <c r="M93" s="107"/>
      <c r="N93" s="107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</row>
    <row r="94" spans="1:50" x14ac:dyDescent="0.25">
      <c r="F94" s="49"/>
      <c r="G94" s="49"/>
      <c r="H94" s="49"/>
      <c r="I94" s="49"/>
      <c r="J94" s="49"/>
      <c r="K94" s="49"/>
      <c r="L94" s="49"/>
      <c r="M94" s="107"/>
      <c r="N94" s="107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</row>
    <row r="95" spans="1:50" x14ac:dyDescent="0.25">
      <c r="F95" s="49"/>
      <c r="G95" s="49"/>
      <c r="H95" s="49"/>
      <c r="I95" s="49"/>
      <c r="J95" s="49"/>
      <c r="K95" s="49"/>
      <c r="L95" s="49"/>
      <c r="M95" s="107"/>
      <c r="N95" s="107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</row>
    <row r="96" spans="1:50" x14ac:dyDescent="0.25">
      <c r="F96" s="49"/>
      <c r="G96" s="49"/>
      <c r="H96" s="49"/>
      <c r="I96" s="49"/>
      <c r="J96" s="49"/>
      <c r="K96" s="49"/>
      <c r="L96" s="49"/>
      <c r="M96" s="107"/>
      <c r="N96" s="107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</row>
    <row r="97" spans="6:52" x14ac:dyDescent="0.25">
      <c r="F97" s="49"/>
      <c r="G97" s="49"/>
      <c r="H97" s="49"/>
      <c r="I97" s="49"/>
      <c r="J97" s="49"/>
      <c r="K97" s="49"/>
      <c r="L97" s="49"/>
      <c r="M97" s="107"/>
      <c r="N97" s="107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</row>
    <row r="98" spans="6:52" x14ac:dyDescent="0.25">
      <c r="F98" s="49"/>
      <c r="G98" s="49"/>
      <c r="H98" s="49"/>
      <c r="I98" s="49"/>
      <c r="J98" s="49"/>
      <c r="K98" s="49"/>
      <c r="L98" s="49"/>
      <c r="M98" s="107"/>
      <c r="N98" s="107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</row>
    <row r="99" spans="6:52" x14ac:dyDescent="0.25">
      <c r="F99" s="49"/>
      <c r="G99" s="49"/>
      <c r="H99" s="49"/>
      <c r="I99" s="49"/>
      <c r="J99" s="49"/>
      <c r="K99" s="49"/>
      <c r="L99" s="49"/>
      <c r="M99" s="107"/>
      <c r="N99" s="107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48"/>
      <c r="AZ99" s="48"/>
    </row>
    <row r="100" spans="6:52" x14ac:dyDescent="0.25">
      <c r="F100" s="1"/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J17"/>
  <sheetViews>
    <sheetView zoomScale="90" zoomScaleNormal="90" workbookViewId="0">
      <selection activeCell="B36" sqref="B36"/>
    </sheetView>
  </sheetViews>
  <sheetFormatPr defaultRowHeight="15" x14ac:dyDescent="0.25"/>
  <cols>
    <col min="1" max="36" width="20.7109375" style="51" customWidth="1"/>
    <col min="37" max="16384" width="9.140625" style="51"/>
  </cols>
  <sheetData>
    <row r="1" spans="1:36" x14ac:dyDescent="0.25">
      <c r="A1" s="50" t="s">
        <v>118</v>
      </c>
      <c r="B1" s="50" t="s">
        <v>119</v>
      </c>
      <c r="C1" s="50" t="s">
        <v>122</v>
      </c>
      <c r="D1" s="50" t="s">
        <v>121</v>
      </c>
      <c r="E1" s="50" t="s">
        <v>120</v>
      </c>
      <c r="F1" s="50" t="s">
        <v>161</v>
      </c>
      <c r="G1" s="50" t="s">
        <v>123</v>
      </c>
      <c r="H1" s="50" t="s">
        <v>125</v>
      </c>
      <c r="I1" s="50" t="s">
        <v>124</v>
      </c>
      <c r="J1" s="50" t="s">
        <v>126</v>
      </c>
      <c r="K1" s="50" t="s">
        <v>127</v>
      </c>
      <c r="L1" s="50" t="s">
        <v>129</v>
      </c>
      <c r="M1" s="50" t="s">
        <v>128</v>
      </c>
      <c r="N1" s="50" t="s">
        <v>130</v>
      </c>
      <c r="O1" s="50" t="s">
        <v>131</v>
      </c>
      <c r="P1" s="50" t="s">
        <v>132</v>
      </c>
      <c r="Q1" s="50" t="s">
        <v>148</v>
      </c>
      <c r="R1" s="50" t="s">
        <v>149</v>
      </c>
      <c r="S1" s="50" t="s">
        <v>133</v>
      </c>
      <c r="T1" s="50" t="s">
        <v>135</v>
      </c>
      <c r="U1" s="50" t="s">
        <v>134</v>
      </c>
      <c r="V1" s="50" t="s">
        <v>136</v>
      </c>
      <c r="W1" s="50" t="s">
        <v>142</v>
      </c>
      <c r="X1" s="50" t="s">
        <v>143</v>
      </c>
      <c r="Y1" s="50" t="s">
        <v>137</v>
      </c>
      <c r="Z1" s="50" t="s">
        <v>138</v>
      </c>
      <c r="AA1" s="50" t="s">
        <v>139</v>
      </c>
      <c r="AB1" s="50" t="s">
        <v>140</v>
      </c>
      <c r="AC1" s="50" t="s">
        <v>141</v>
      </c>
      <c r="AD1" s="50" t="s">
        <v>144</v>
      </c>
      <c r="AE1" s="50" t="s">
        <v>145</v>
      </c>
      <c r="AF1" s="50" t="s">
        <v>146</v>
      </c>
      <c r="AG1" s="50" t="s">
        <v>147</v>
      </c>
      <c r="AH1" s="50" t="s">
        <v>153</v>
      </c>
      <c r="AI1" s="50" t="s">
        <v>154</v>
      </c>
      <c r="AJ1" s="50" t="s">
        <v>156</v>
      </c>
    </row>
    <row r="2" spans="1:36" x14ac:dyDescent="0.25">
      <c r="A2" s="50" t="str">
        <f>Service1!C6</f>
        <v>Омск</v>
      </c>
      <c r="B2" s="50" t="str">
        <f>Service2!H9</f>
        <v>+16°</v>
      </c>
      <c r="C2" s="50" t="str">
        <f>Service2!Q9</f>
        <v>+1°</v>
      </c>
      <c r="D2" s="50" t="str">
        <f>Service2!Z9</f>
        <v>+16°</v>
      </c>
      <c r="E2" s="50" t="str">
        <f>Service2!AI9</f>
        <v>+1°</v>
      </c>
      <c r="F2" s="53" t="str">
        <f>Service2!AQ9</f>
        <v>800, 0, 800, 0</v>
      </c>
      <c r="G2" s="146" t="str">
        <f>Service2!O9</f>
        <v>iconClouds.mov</v>
      </c>
      <c r="H2" s="146" t="str">
        <f>Service2!X9</f>
        <v>iconCloudMoon.mov</v>
      </c>
      <c r="I2" s="146" t="str">
        <f>Service2!AG9</f>
        <v>iconSun.mov</v>
      </c>
      <c r="J2" s="146" t="str">
        <f>Service2!AP9</f>
        <v>iconMoon.mov</v>
      </c>
      <c r="K2" s="50" t="str">
        <f>Service2!H6</f>
        <v>ветер ЮЗ</v>
      </c>
      <c r="L2" s="50" t="str">
        <f>Service2!Q6</f>
        <v>ветер Ю</v>
      </c>
      <c r="M2" s="50" t="str">
        <f>Service2!Z6</f>
        <v>ветер Ю</v>
      </c>
      <c r="N2" s="50" t="str">
        <f>Service2!AI6</f>
        <v>ветер Ю</v>
      </c>
      <c r="O2" s="50" t="str">
        <f>Service2!I6</f>
        <v>3 м/с</v>
      </c>
      <c r="P2" s="50" t="str">
        <f>Service2!R6</f>
        <v>3 м/с</v>
      </c>
      <c r="Q2" s="50" t="str">
        <f>Service2!AA6</f>
        <v>2 м/с</v>
      </c>
      <c r="R2" s="50" t="str">
        <f>Service2!AJ6</f>
        <v>2 м/с</v>
      </c>
      <c r="S2" s="50" t="str">
        <f>Service2!J6</f>
        <v>760 мм</v>
      </c>
      <c r="T2" s="50" t="str">
        <f>Service2!S6</f>
        <v>758 мм</v>
      </c>
      <c r="U2" s="50" t="str">
        <f>Service2!AB6</f>
        <v>758 мм</v>
      </c>
      <c r="V2" s="50" t="str">
        <f>Service2!AK6</f>
        <v>750 мм</v>
      </c>
      <c r="W2" s="50" t="str">
        <f>Service2!C11</f>
        <v>Прогноз на пятницу</v>
      </c>
      <c r="X2" s="50" t="str">
        <f>Service2!C12</f>
        <v>Прогноз на субботу</v>
      </c>
      <c r="Y2" s="50" t="str">
        <f>Service2!C13</f>
        <v>4 октября</v>
      </c>
      <c r="Z2" s="50" t="str">
        <f>Service2!C14</f>
        <v>5 октября</v>
      </c>
      <c r="AA2" s="50" t="str">
        <f>Service2!C15</f>
        <v>4 октября. Пятница</v>
      </c>
      <c r="AB2" s="50" t="str">
        <f>Service2!C16</f>
        <v>5 октября. Суббота</v>
      </c>
      <c r="AC2" s="50" t="str">
        <f>Service2!C17</f>
        <v>День, 4.10</v>
      </c>
      <c r="AD2" s="50" t="str">
        <f>Service2!C18</f>
        <v>Ночь, 4.10</v>
      </c>
      <c r="AE2" s="50" t="str">
        <f>Service2!C19</f>
        <v>День, 5.10</v>
      </c>
      <c r="AF2" s="50" t="str">
        <f>Service2!C20</f>
        <v>Ночь, 5.10</v>
      </c>
      <c r="AG2" s="50" t="str">
        <f>Service2!C21</f>
        <v>Прогноз на пятницу и субботу</v>
      </c>
      <c r="AH2" s="50" t="str">
        <f>Service2!C23</f>
        <v>Погода в Омской области</v>
      </c>
      <c r="AI2" s="50" t="str">
        <f>Service2!C24</f>
        <v>Погода в Омске</v>
      </c>
      <c r="AJ2" s="50" t="str">
        <f>Service2!C25</f>
        <v>По информации Омского гидрометцентра</v>
      </c>
    </row>
    <row r="3" spans="1:36" x14ac:dyDescent="0.25">
      <c r="A3" s="50" t="str">
        <f>Service1!C9</f>
        <v>Усть-Ишим</v>
      </c>
      <c r="B3" s="50" t="str">
        <f>Service2!H10</f>
        <v>+14°</v>
      </c>
      <c r="C3" s="50" t="str">
        <f>Service2!Q10</f>
        <v>+3°</v>
      </c>
      <c r="D3" s="50" t="str">
        <f>Service2!Z10</f>
        <v>+14°</v>
      </c>
      <c r="E3" s="50" t="str">
        <f>Service2!AI10</f>
        <v>+3°</v>
      </c>
      <c r="F3" s="53" t="str">
        <f>Service2!AQ10</f>
        <v>800, 0, 800, 0</v>
      </c>
      <c r="G3" s="146" t="str">
        <f>Service2!O10</f>
        <v>iconClouds.mov</v>
      </c>
      <c r="H3" s="146" t="str">
        <f>Service2!X10</f>
        <v>iconClouds.mov</v>
      </c>
      <c r="I3" s="146" t="str">
        <f>Service2!AG10</f>
        <v>iconCloudSun.mov</v>
      </c>
      <c r="J3" s="146" t="str">
        <f>Service2!AP10</f>
        <v>iconCloudMoon.mov</v>
      </c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</row>
    <row r="4" spans="1:36" x14ac:dyDescent="0.25">
      <c r="A4" s="50" t="str">
        <f>Service1!C10</f>
        <v>Тара</v>
      </c>
      <c r="B4" s="50" t="str">
        <f>Service2!H11</f>
        <v>+15°</v>
      </c>
      <c r="C4" s="50" t="str">
        <f>Service2!Q11</f>
        <v>+3°</v>
      </c>
      <c r="D4" s="50" t="str">
        <f>Service2!Z11</f>
        <v>+15°</v>
      </c>
      <c r="E4" s="50" t="str">
        <f>Service2!AI11</f>
        <v>+2°</v>
      </c>
      <c r="F4" s="53" t="str">
        <f>Service2!AQ11</f>
        <v>800, 62, 800, 0</v>
      </c>
      <c r="G4" s="146" t="str">
        <f>Service2!O11</f>
        <v>iconClouds.mov</v>
      </c>
      <c r="H4" s="146" t="str">
        <f>Service2!X11</f>
        <v>iconClouds.mov</v>
      </c>
      <c r="I4" s="146" t="str">
        <f>Service2!AG11</f>
        <v>iconCloudSun.mov</v>
      </c>
      <c r="J4" s="146" t="str">
        <f>Service2!AP11</f>
        <v>iconCloudMoon.mov</v>
      </c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</row>
    <row r="5" spans="1:36" x14ac:dyDescent="0.25">
      <c r="A5" s="50" t="str">
        <f>Service1!C11</f>
        <v>Тюкалинск</v>
      </c>
      <c r="B5" s="50" t="str">
        <f>Service2!H12</f>
        <v>+15°</v>
      </c>
      <c r="C5" s="50" t="str">
        <f>Service2!Q12</f>
        <v>+2°</v>
      </c>
      <c r="D5" s="50" t="str">
        <f>Service2!Z12</f>
        <v>+16°</v>
      </c>
      <c r="E5" s="50" t="str">
        <f>Service2!AI12</f>
        <v>+2°</v>
      </c>
      <c r="F5" s="53" t="str">
        <f>Service2!AQ12</f>
        <v>743, 0, 800, 0</v>
      </c>
      <c r="G5" s="146" t="str">
        <f>Service2!O12</f>
        <v>iconClouds.mov</v>
      </c>
      <c r="H5" s="146" t="str">
        <f>Service2!X12</f>
        <v>iconCloudMoon.mov</v>
      </c>
      <c r="I5" s="146" t="str">
        <f>Service2!AG12</f>
        <v>iconSun.mov</v>
      </c>
      <c r="J5" s="146" t="str">
        <f>Service2!AP12</f>
        <v>iconMoon.mov</v>
      </c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</row>
    <row r="6" spans="1:36" x14ac:dyDescent="0.25">
      <c r="A6" s="50" t="str">
        <f>Service1!C12</f>
        <v>Большеречье</v>
      </c>
      <c r="B6" s="50" t="str">
        <f>Service2!H13</f>
        <v>+16°</v>
      </c>
      <c r="C6" s="50" t="str">
        <f>Service2!Q13</f>
        <v>+3°</v>
      </c>
      <c r="D6" s="50" t="str">
        <f>Service2!Z13</f>
        <v>+16°</v>
      </c>
      <c r="E6" s="50" t="str">
        <f>Service2!AI13</f>
        <v>+2°</v>
      </c>
      <c r="F6" s="53" t="str">
        <f>Service2!AQ13</f>
        <v>800, 57, 800, 0</v>
      </c>
      <c r="G6" s="146" t="str">
        <f>Service2!O13</f>
        <v>iconClouds.mov</v>
      </c>
      <c r="H6" s="146" t="str">
        <f>Service2!X13</f>
        <v>iconClouds.mov</v>
      </c>
      <c r="I6" s="146" t="str">
        <f>Service2!AG13</f>
        <v>iconCloudSun.mov</v>
      </c>
      <c r="J6" s="146" t="str">
        <f>Service2!AP13</f>
        <v>iconCloudMoon.mov</v>
      </c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</row>
    <row r="7" spans="1:36" x14ac:dyDescent="0.25">
      <c r="A7" s="50" t="str">
        <f>Service1!C13</f>
        <v>Называевск</v>
      </c>
      <c r="B7" s="50" t="str">
        <f>Service2!H14</f>
        <v>+16°</v>
      </c>
      <c r="C7" s="50" t="str">
        <f>Service2!Q14</f>
        <v>+1°</v>
      </c>
      <c r="D7" s="50" t="str">
        <f>Service2!Z14</f>
        <v>+16°</v>
      </c>
      <c r="E7" s="50" t="str">
        <f>Service2!AI14</f>
        <v>+1°</v>
      </c>
      <c r="F7" s="53" t="str">
        <f>Service2!AQ14</f>
        <v>800, 0, 800, 0</v>
      </c>
      <c r="G7" s="146" t="str">
        <f>Service2!O14</f>
        <v>iconClouds.mov</v>
      </c>
      <c r="H7" s="146" t="str">
        <f>Service2!X14</f>
        <v>iconCloudMoon.mov</v>
      </c>
      <c r="I7" s="146" t="str">
        <f>Service2!AG14</f>
        <v>iconSun.mov</v>
      </c>
      <c r="J7" s="146" t="str">
        <f>Service2!AP14</f>
        <v>iconMoon.mov</v>
      </c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</row>
    <row r="8" spans="1:36" x14ac:dyDescent="0.25">
      <c r="A8" s="50" t="str">
        <f>Service1!C14</f>
        <v>Тевриз</v>
      </c>
      <c r="B8" s="50" t="str">
        <f>Service2!H15</f>
        <v>+14°</v>
      </c>
      <c r="C8" s="50" t="str">
        <f>Service2!Q15</f>
        <v>+4°</v>
      </c>
      <c r="D8" s="50" t="str">
        <f>Service2!Z15</f>
        <v>+14°</v>
      </c>
      <c r="E8" s="50" t="str">
        <f>Service2!AI15</f>
        <v>+2°</v>
      </c>
      <c r="F8" s="53" t="str">
        <f>Service2!AQ15</f>
        <v>800, 133, 800, 0</v>
      </c>
      <c r="G8" s="146" t="str">
        <f>Service2!O15</f>
        <v>iconClouds.mov</v>
      </c>
      <c r="H8" s="146" t="str">
        <f>Service2!X15</f>
        <v>iconClouds.mov</v>
      </c>
      <c r="I8" s="146" t="str">
        <f>Service2!AG15</f>
        <v>iconCloudSun.mov</v>
      </c>
      <c r="J8" s="146" t="str">
        <f>Service2!AP15</f>
        <v>iconCloudMoon.mov</v>
      </c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</row>
    <row r="9" spans="1:36" x14ac:dyDescent="0.25">
      <c r="A9" s="50" t="str">
        <f>Service1!C15</f>
        <v>Саргатское</v>
      </c>
      <c r="B9" s="50" t="str">
        <f>Service2!H16</f>
        <v>+16°</v>
      </c>
      <c r="C9" s="50" t="str">
        <f>Service2!Q16</f>
        <v>+1°</v>
      </c>
      <c r="D9" s="50" t="str">
        <f>Service2!Z16</f>
        <v>+16°</v>
      </c>
      <c r="E9" s="50" t="str">
        <f>Service2!AI16</f>
        <v>+1°</v>
      </c>
      <c r="F9" s="53" t="str">
        <f>Service2!AQ16</f>
        <v>800, 0, 800, 0</v>
      </c>
      <c r="G9" s="146" t="str">
        <f>Service2!O16</f>
        <v>iconClouds.mov</v>
      </c>
      <c r="H9" s="146" t="str">
        <f>Service2!X16</f>
        <v>iconCloudMoon.mov</v>
      </c>
      <c r="I9" s="146" t="str">
        <f>Service2!AG16</f>
        <v>iconCloudSun.mov</v>
      </c>
      <c r="J9" s="146" t="str">
        <f>Service2!AP16</f>
        <v>iconCloudMoon.mov</v>
      </c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</row>
    <row r="10" spans="1:36" x14ac:dyDescent="0.25">
      <c r="A10" s="50" t="str">
        <f>Service1!D9</f>
        <v>Исилькуль</v>
      </c>
      <c r="B10" s="50" t="str">
        <f>Service2!H17</f>
        <v>+16°</v>
      </c>
      <c r="C10" s="50" t="str">
        <f>Service2!Q17</f>
        <v>-1°</v>
      </c>
      <c r="D10" s="50" t="str">
        <f>Service2!Z17</f>
        <v>+17°</v>
      </c>
      <c r="E10" s="50" t="str">
        <f>Service2!AI17</f>
        <v>0°</v>
      </c>
      <c r="F10" s="53" t="str">
        <f>Service2!AQ17</f>
        <v>756, 0, 800, 44</v>
      </c>
      <c r="G10" s="146" t="str">
        <f>Service2!O17</f>
        <v>iconClouds.mov</v>
      </c>
      <c r="H10" s="146" t="str">
        <f>Service2!X17</f>
        <v>iconCloudMoon.mov</v>
      </c>
      <c r="I10" s="146" t="str">
        <f>Service2!AG17</f>
        <v>iconSun.mov</v>
      </c>
      <c r="J10" s="146" t="str">
        <f>Service2!AP17</f>
        <v>iconMoon.mov</v>
      </c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</row>
    <row r="11" spans="1:36" x14ac:dyDescent="0.25">
      <c r="A11" s="50" t="str">
        <f>Service1!D10</f>
        <v>Калачинск</v>
      </c>
      <c r="B11" s="50" t="str">
        <f>Service2!H18</f>
        <v>+16°</v>
      </c>
      <c r="C11" s="50" t="str">
        <f>Service2!Q18</f>
        <v>+2°</v>
      </c>
      <c r="D11" s="50" t="str">
        <f>Service2!Z18</f>
        <v>+16°</v>
      </c>
      <c r="E11" s="50" t="str">
        <f>Service2!AI18</f>
        <v>+1°</v>
      </c>
      <c r="F11" s="53" t="str">
        <f>Service2!AQ18</f>
        <v>800, 53, 800, 0</v>
      </c>
      <c r="G11" s="146" t="str">
        <f>Service2!O18</f>
        <v>iconClouds.mov</v>
      </c>
      <c r="H11" s="146" t="str">
        <f>Service2!X18</f>
        <v>iconCloudMoon.mov</v>
      </c>
      <c r="I11" s="146" t="str">
        <f>Service2!AG18</f>
        <v>iconSun.mov</v>
      </c>
      <c r="J11" s="146" t="str">
        <f>Service2!AP18</f>
        <v>iconMoon.mov</v>
      </c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</row>
    <row r="12" spans="1:36" x14ac:dyDescent="0.25">
      <c r="A12" s="50" t="str">
        <f>Service1!D11</f>
        <v>Полтавка</v>
      </c>
      <c r="B12" s="50" t="str">
        <f>Service2!H19</f>
        <v>+16°</v>
      </c>
      <c r="C12" s="50" t="str">
        <f>Service2!Q19</f>
        <v>0°</v>
      </c>
      <c r="D12" s="50" t="str">
        <f>Service2!Z19</f>
        <v>+18°</v>
      </c>
      <c r="E12" s="50" t="str">
        <f>Service2!AI19</f>
        <v>0°</v>
      </c>
      <c r="F12" s="53" t="str">
        <f>Service2!AQ19</f>
        <v>711, 0, 800, 0</v>
      </c>
      <c r="G12" s="146" t="str">
        <f>Service2!O19</f>
        <v>iconClouds.mov</v>
      </c>
      <c r="H12" s="146" t="str">
        <f>Service2!X19</f>
        <v>iconCloudMoon.mov</v>
      </c>
      <c r="I12" s="146" t="str">
        <f>Service2!AG19</f>
        <v>iconSun.mov</v>
      </c>
      <c r="J12" s="146" t="str">
        <f>Service2!AP19</f>
        <v>iconMoon.mov</v>
      </c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</row>
    <row r="13" spans="1:36" x14ac:dyDescent="0.25">
      <c r="A13" s="50" t="str">
        <f>Service1!D12</f>
        <v>Русская Поляна</v>
      </c>
      <c r="B13" s="50" t="str">
        <f>Service2!H20</f>
        <v>+15°</v>
      </c>
      <c r="C13" s="50" t="str">
        <f>Service2!Q20</f>
        <v>+1°</v>
      </c>
      <c r="D13" s="50" t="str">
        <f>Service2!Z20</f>
        <v>+17°</v>
      </c>
      <c r="E13" s="50" t="str">
        <f>Service2!AI20</f>
        <v>+2°</v>
      </c>
      <c r="F13" s="53" t="str">
        <f>Service2!AQ20</f>
        <v>700, 0, 800, 50</v>
      </c>
      <c r="G13" s="146" t="str">
        <f>Service2!O20</f>
        <v>iconCloudSun.mov</v>
      </c>
      <c r="H13" s="146" t="str">
        <f>Service2!X20</f>
        <v>iconCloudMoon.mov</v>
      </c>
      <c r="I13" s="146" t="str">
        <f>Service2!AG20</f>
        <v>iconSun.mov</v>
      </c>
      <c r="J13" s="146" t="str">
        <f>Service2!AP20</f>
        <v>iconMoon.mov</v>
      </c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</row>
    <row r="14" spans="1:36" x14ac:dyDescent="0.25">
      <c r="A14" s="50" t="str">
        <f>Service1!D13</f>
        <v>Черлак</v>
      </c>
      <c r="B14" s="50" t="str">
        <f>Service2!H21</f>
        <v>+16°</v>
      </c>
      <c r="C14" s="50" t="str">
        <f>Service2!Q21</f>
        <v>+1°</v>
      </c>
      <c r="D14" s="50" t="str">
        <f>Service2!Z21</f>
        <v>+17°</v>
      </c>
      <c r="E14" s="50" t="str">
        <f>Service2!AI21</f>
        <v>+2°</v>
      </c>
      <c r="F14" s="53" t="str">
        <f>Service2!AQ21</f>
        <v>750, 0, 800, 50</v>
      </c>
      <c r="G14" s="146" t="str">
        <f>Service2!O21</f>
        <v>iconClouds.mov</v>
      </c>
      <c r="H14" s="146" t="str">
        <f>Service2!X21</f>
        <v>iconCloudMoon.mov</v>
      </c>
      <c r="I14" s="146" t="str">
        <f>Service2!AG21</f>
        <v>iconSun.mov</v>
      </c>
      <c r="J14" s="146" t="str">
        <f>Service2!AP21</f>
        <v>iconMoon.mov</v>
      </c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</row>
    <row r="15" spans="1:36" x14ac:dyDescent="0.25">
      <c r="A15" s="50" t="str">
        <f>Service1!D14</f>
        <v>Одесское</v>
      </c>
      <c r="B15" s="50" t="str">
        <f>Service2!H22</f>
        <v>+16°</v>
      </c>
      <c r="C15" s="50" t="str">
        <f>Service2!Q22</f>
        <v>+1°</v>
      </c>
      <c r="D15" s="50" t="str">
        <f>Service2!Z22</f>
        <v>+17°</v>
      </c>
      <c r="E15" s="50" t="str">
        <f>Service2!AI22</f>
        <v>+1°</v>
      </c>
      <c r="F15" s="53" t="str">
        <f>Service2!AQ22</f>
        <v>750, 0, 800, 0</v>
      </c>
      <c r="G15" s="146" t="str">
        <f>Service2!O22</f>
        <v>iconClouds.mov</v>
      </c>
      <c r="H15" s="146" t="str">
        <f>Service2!X22</f>
        <v>iconCloudMoon.mov</v>
      </c>
      <c r="I15" s="146" t="str">
        <f>Service2!AG22</f>
        <v>iconSun.mov</v>
      </c>
      <c r="J15" s="146" t="str">
        <f>Service2!AP22</f>
        <v>iconMoon.mov</v>
      </c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</row>
    <row r="16" spans="1:36" x14ac:dyDescent="0.25">
      <c r="A16" s="50" t="str">
        <f>Service1!D15</f>
        <v>Павлоградка</v>
      </c>
      <c r="B16" s="50" t="str">
        <f>Service2!H23</f>
        <v>+16°</v>
      </c>
      <c r="C16" s="50" t="str">
        <f>Service2!Q23</f>
        <v>+1°</v>
      </c>
      <c r="D16" s="50" t="str">
        <f>Service2!Z23</f>
        <v>+17°</v>
      </c>
      <c r="E16" s="50" t="str">
        <f>Service2!AI23</f>
        <v>+1°</v>
      </c>
      <c r="F16" s="53" t="str">
        <f>Service2!AQ23</f>
        <v>750, 0, 800, 0</v>
      </c>
      <c r="G16" s="146" t="str">
        <f>Service2!O23</f>
        <v>iconClouds.mov</v>
      </c>
      <c r="H16" s="146" t="str">
        <f>Service2!X23</f>
        <v>iconCloudMoon.mov</v>
      </c>
      <c r="I16" s="146" t="str">
        <f>Service2!AG23</f>
        <v>iconSun.mov</v>
      </c>
      <c r="J16" s="146" t="str">
        <f>Service2!AP23</f>
        <v>iconMoon.mov</v>
      </c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</row>
    <row r="17" spans="3:3" x14ac:dyDescent="0.25">
      <c r="C17" s="52"/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F28"/>
  <sheetViews>
    <sheetView workbookViewId="0">
      <selection activeCell="AC41" sqref="AC41"/>
    </sheetView>
  </sheetViews>
  <sheetFormatPr defaultColWidth="1.7109375" defaultRowHeight="15" x14ac:dyDescent="0.25"/>
  <cols>
    <col min="1" max="1" width="1.7109375" style="149" customWidth="1"/>
    <col min="2" max="16384" width="1.7109375" style="149"/>
  </cols>
  <sheetData>
    <row r="1" spans="1:58" x14ac:dyDescent="0.25">
      <c r="A1" s="280" t="s">
        <v>205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  <c r="Q1" s="280"/>
      <c r="R1" s="280"/>
      <c r="S1" s="280"/>
      <c r="T1" s="280"/>
      <c r="U1" s="280"/>
      <c r="V1" s="280"/>
      <c r="W1" s="280"/>
      <c r="X1" s="280"/>
      <c r="Y1" s="280"/>
      <c r="Z1" s="280"/>
      <c r="AA1" s="280"/>
      <c r="AB1" s="280"/>
      <c r="AC1" s="280"/>
      <c r="AD1" s="280"/>
      <c r="AE1" s="280"/>
      <c r="AF1" s="280"/>
      <c r="AG1" s="280"/>
      <c r="AH1" s="280"/>
      <c r="AI1" s="280"/>
      <c r="AJ1" s="280"/>
      <c r="AK1" s="280"/>
      <c r="AL1" s="280"/>
      <c r="AM1" s="280"/>
      <c r="AN1" s="280"/>
      <c r="AO1" s="280"/>
      <c r="AP1" s="280"/>
      <c r="AQ1" s="280"/>
      <c r="AR1" s="280"/>
      <c r="AS1" s="280"/>
      <c r="AT1" s="280"/>
      <c r="AU1" s="280"/>
      <c r="AV1" s="280"/>
      <c r="AW1" s="280"/>
      <c r="AX1" s="280"/>
      <c r="AY1" s="148"/>
      <c r="AZ1" s="148"/>
      <c r="BA1" s="148"/>
      <c r="BB1" s="148"/>
      <c r="BC1" s="148"/>
    </row>
    <row r="2" spans="1:58" ht="5.25" customHeight="1" x14ac:dyDescent="0.25">
      <c r="A2" s="150"/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</row>
    <row r="3" spans="1:58" ht="15.75" x14ac:dyDescent="0.25">
      <c r="A3" s="288" t="str">
        <f>Service2!C13</f>
        <v>4 октября</v>
      </c>
      <c r="B3" s="289"/>
      <c r="C3" s="289"/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90" t="str">
        <f>Service2!C9</f>
        <v>Пятница</v>
      </c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 t="s">
        <v>21</v>
      </c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151"/>
      <c r="AZ3" s="151"/>
      <c r="BA3" s="151"/>
      <c r="BB3" s="151"/>
      <c r="BC3" s="151"/>
      <c r="BD3" s="152"/>
      <c r="BE3" s="152"/>
      <c r="BF3" s="152"/>
    </row>
    <row r="4" spans="1:58" ht="15.75" x14ac:dyDescent="0.25">
      <c r="A4" s="153"/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4"/>
      <c r="AZ4" s="154"/>
      <c r="BA4" s="154"/>
      <c r="BB4" s="154"/>
      <c r="BC4" s="154"/>
      <c r="BD4" s="152"/>
      <c r="BE4" s="152"/>
      <c r="BF4" s="152"/>
    </row>
    <row r="5" spans="1:58" ht="15.75" x14ac:dyDescent="0.25">
      <c r="A5" s="281" t="str">
        <f>Service1!C9</f>
        <v>Усть-Ишим</v>
      </c>
      <c r="B5" s="282"/>
      <c r="C5" s="282"/>
      <c r="D5" s="282"/>
      <c r="E5" s="282"/>
      <c r="F5" s="282"/>
      <c r="G5" s="282"/>
      <c r="H5" s="282"/>
      <c r="I5" s="282"/>
      <c r="J5" s="282"/>
      <c r="K5" s="282"/>
      <c r="L5" s="283"/>
      <c r="M5" s="285" t="str">
        <f>Service2!M10</f>
        <v xml:space="preserve"> Облачно</v>
      </c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7"/>
      <c r="AC5" s="284" t="str">
        <f>Service2!N10</f>
        <v>Без осадков</v>
      </c>
      <c r="AD5" s="282"/>
      <c r="AE5" s="282"/>
      <c r="AF5" s="282"/>
      <c r="AG5" s="282"/>
      <c r="AH5" s="282"/>
      <c r="AI5" s="282"/>
      <c r="AJ5" s="282"/>
      <c r="AK5" s="282"/>
      <c r="AL5" s="282"/>
      <c r="AM5" s="282"/>
      <c r="AN5" s="282"/>
      <c r="AO5" s="282"/>
      <c r="AP5" s="282"/>
      <c r="AQ5" s="283"/>
      <c r="AR5" s="281" t="str">
        <f>Service2!H10</f>
        <v>+14°</v>
      </c>
      <c r="AS5" s="282"/>
      <c r="AT5" s="282"/>
      <c r="AU5" s="282"/>
      <c r="AV5" s="282"/>
      <c r="AW5" s="282"/>
      <c r="AX5" s="283"/>
      <c r="AY5" s="155"/>
      <c r="AZ5" s="155"/>
      <c r="BA5" s="155"/>
      <c r="BB5" s="155"/>
      <c r="BC5" s="155"/>
      <c r="BD5" s="152"/>
      <c r="BE5" s="152"/>
      <c r="BF5" s="152"/>
    </row>
    <row r="6" spans="1:58" ht="15.75" x14ac:dyDescent="0.25">
      <c r="A6" s="281" t="str">
        <f>Service1!C10</f>
        <v>Тара</v>
      </c>
      <c r="B6" s="282"/>
      <c r="C6" s="282"/>
      <c r="D6" s="282"/>
      <c r="E6" s="282"/>
      <c r="F6" s="282"/>
      <c r="G6" s="282"/>
      <c r="H6" s="282"/>
      <c r="I6" s="282"/>
      <c r="J6" s="282"/>
      <c r="K6" s="282"/>
      <c r="L6" s="283"/>
      <c r="M6" s="285" t="str">
        <f>Service2!M11</f>
        <v xml:space="preserve"> Облачно</v>
      </c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7"/>
      <c r="AC6" s="284" t="str">
        <f>Service2!N11</f>
        <v>Без осадков</v>
      </c>
      <c r="AD6" s="282"/>
      <c r="AE6" s="282"/>
      <c r="AF6" s="282"/>
      <c r="AG6" s="282"/>
      <c r="AH6" s="282"/>
      <c r="AI6" s="282"/>
      <c r="AJ6" s="282"/>
      <c r="AK6" s="282"/>
      <c r="AL6" s="282"/>
      <c r="AM6" s="282"/>
      <c r="AN6" s="282"/>
      <c r="AO6" s="282"/>
      <c r="AP6" s="282"/>
      <c r="AQ6" s="283"/>
      <c r="AR6" s="281" t="str">
        <f>Service2!H11</f>
        <v>+15°</v>
      </c>
      <c r="AS6" s="282"/>
      <c r="AT6" s="282"/>
      <c r="AU6" s="282"/>
      <c r="AV6" s="282"/>
      <c r="AW6" s="282"/>
      <c r="AX6" s="283"/>
      <c r="AY6" s="155"/>
      <c r="AZ6" s="155"/>
      <c r="BA6" s="155"/>
      <c r="BB6" s="155"/>
      <c r="BC6" s="155"/>
      <c r="BD6" s="152"/>
      <c r="BE6" s="152"/>
      <c r="BF6" s="152"/>
    </row>
    <row r="7" spans="1:58" ht="15.75" x14ac:dyDescent="0.25">
      <c r="A7" s="281" t="str">
        <f>Service1!C11</f>
        <v>Тюкалинск</v>
      </c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3"/>
      <c r="M7" s="285" t="str">
        <f>Service2!M12</f>
        <v xml:space="preserve"> Облачно</v>
      </c>
      <c r="N7" s="286"/>
      <c r="O7" s="286"/>
      <c r="P7" s="286"/>
      <c r="Q7" s="286"/>
      <c r="R7" s="286"/>
      <c r="S7" s="286"/>
      <c r="T7" s="286"/>
      <c r="U7" s="286"/>
      <c r="V7" s="286"/>
      <c r="W7" s="286"/>
      <c r="X7" s="286"/>
      <c r="Y7" s="286"/>
      <c r="Z7" s="286"/>
      <c r="AA7" s="286"/>
      <c r="AB7" s="287"/>
      <c r="AC7" s="284" t="str">
        <f>Service2!N12</f>
        <v>Без осадков</v>
      </c>
      <c r="AD7" s="282"/>
      <c r="AE7" s="282"/>
      <c r="AF7" s="282"/>
      <c r="AG7" s="282"/>
      <c r="AH7" s="282"/>
      <c r="AI7" s="282"/>
      <c r="AJ7" s="282"/>
      <c r="AK7" s="282"/>
      <c r="AL7" s="282"/>
      <c r="AM7" s="282"/>
      <c r="AN7" s="282"/>
      <c r="AO7" s="282"/>
      <c r="AP7" s="282"/>
      <c r="AQ7" s="283"/>
      <c r="AR7" s="281" t="str">
        <f>Service2!H12</f>
        <v>+15°</v>
      </c>
      <c r="AS7" s="282"/>
      <c r="AT7" s="282"/>
      <c r="AU7" s="282"/>
      <c r="AV7" s="282"/>
      <c r="AW7" s="282"/>
      <c r="AX7" s="283"/>
      <c r="AY7" s="155"/>
      <c r="AZ7" s="155"/>
      <c r="BA7" s="155"/>
      <c r="BB7" s="155"/>
      <c r="BC7" s="155"/>
      <c r="BD7" s="152"/>
      <c r="BE7" s="152"/>
      <c r="BF7" s="152"/>
    </row>
    <row r="8" spans="1:58" ht="15.75" x14ac:dyDescent="0.25">
      <c r="A8" s="281" t="str">
        <f>Service1!C12</f>
        <v>Большеречье</v>
      </c>
      <c r="B8" s="282"/>
      <c r="C8" s="282"/>
      <c r="D8" s="282"/>
      <c r="E8" s="282"/>
      <c r="F8" s="282"/>
      <c r="G8" s="282"/>
      <c r="H8" s="282"/>
      <c r="I8" s="282"/>
      <c r="J8" s="282"/>
      <c r="K8" s="282"/>
      <c r="L8" s="283"/>
      <c r="M8" s="285" t="str">
        <f>Service2!M13</f>
        <v xml:space="preserve"> Облачно</v>
      </c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7"/>
      <c r="AC8" s="284" t="str">
        <f>Service2!N13</f>
        <v>Без осадков</v>
      </c>
      <c r="AD8" s="282"/>
      <c r="AE8" s="282"/>
      <c r="AF8" s="282"/>
      <c r="AG8" s="282"/>
      <c r="AH8" s="282"/>
      <c r="AI8" s="282"/>
      <c r="AJ8" s="282"/>
      <c r="AK8" s="282"/>
      <c r="AL8" s="282"/>
      <c r="AM8" s="282"/>
      <c r="AN8" s="282"/>
      <c r="AO8" s="282"/>
      <c r="AP8" s="282"/>
      <c r="AQ8" s="283"/>
      <c r="AR8" s="281" t="str">
        <f>Service2!H13</f>
        <v>+16°</v>
      </c>
      <c r="AS8" s="282"/>
      <c r="AT8" s="282"/>
      <c r="AU8" s="282"/>
      <c r="AV8" s="282"/>
      <c r="AW8" s="282"/>
      <c r="AX8" s="283"/>
      <c r="AY8" s="155"/>
      <c r="AZ8" s="155"/>
      <c r="BA8" s="155"/>
      <c r="BB8" s="155"/>
      <c r="BC8" s="155"/>
      <c r="BD8" s="152"/>
      <c r="BE8" s="152"/>
      <c r="BF8" s="152"/>
    </row>
    <row r="9" spans="1:58" ht="15.75" x14ac:dyDescent="0.25">
      <c r="A9" s="281" t="str">
        <f>Service1!C13</f>
        <v>Называевск</v>
      </c>
      <c r="B9" s="282"/>
      <c r="C9" s="282"/>
      <c r="D9" s="282"/>
      <c r="E9" s="282"/>
      <c r="F9" s="282"/>
      <c r="G9" s="282"/>
      <c r="H9" s="282"/>
      <c r="I9" s="282"/>
      <c r="J9" s="282"/>
      <c r="K9" s="282"/>
      <c r="L9" s="283"/>
      <c r="M9" s="285" t="str">
        <f>Service2!M14</f>
        <v xml:space="preserve"> Облачно</v>
      </c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7"/>
      <c r="AC9" s="284" t="str">
        <f>Service2!N14</f>
        <v>Без осадков</v>
      </c>
      <c r="AD9" s="282"/>
      <c r="AE9" s="282"/>
      <c r="AF9" s="282"/>
      <c r="AG9" s="282"/>
      <c r="AH9" s="282"/>
      <c r="AI9" s="282"/>
      <c r="AJ9" s="282"/>
      <c r="AK9" s="282"/>
      <c r="AL9" s="282"/>
      <c r="AM9" s="282"/>
      <c r="AN9" s="282"/>
      <c r="AO9" s="282"/>
      <c r="AP9" s="282"/>
      <c r="AQ9" s="283"/>
      <c r="AR9" s="281" t="str">
        <f>Service2!H14</f>
        <v>+16°</v>
      </c>
      <c r="AS9" s="282"/>
      <c r="AT9" s="282"/>
      <c r="AU9" s="282"/>
      <c r="AV9" s="282"/>
      <c r="AW9" s="282"/>
      <c r="AX9" s="283"/>
      <c r="AY9" s="155"/>
      <c r="AZ9" s="155"/>
      <c r="BA9" s="155"/>
      <c r="BB9" s="155"/>
      <c r="BC9" s="155"/>
      <c r="BD9" s="152"/>
      <c r="BE9" s="152"/>
      <c r="BF9" s="152"/>
    </row>
    <row r="10" spans="1:58" ht="15.75" x14ac:dyDescent="0.25">
      <c r="A10" s="281" t="str">
        <f>Service1!C14</f>
        <v>Тевриз</v>
      </c>
      <c r="B10" s="282"/>
      <c r="C10" s="282"/>
      <c r="D10" s="282"/>
      <c r="E10" s="282"/>
      <c r="F10" s="282"/>
      <c r="G10" s="282"/>
      <c r="H10" s="282"/>
      <c r="I10" s="282"/>
      <c r="J10" s="282"/>
      <c r="K10" s="282"/>
      <c r="L10" s="283"/>
      <c r="M10" s="285" t="str">
        <f>Service2!M15</f>
        <v xml:space="preserve"> Облачно</v>
      </c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7"/>
      <c r="AC10" s="284" t="str">
        <f>Service2!N15</f>
        <v>Без осадков</v>
      </c>
      <c r="AD10" s="282"/>
      <c r="AE10" s="282"/>
      <c r="AF10" s="282"/>
      <c r="AG10" s="282"/>
      <c r="AH10" s="282"/>
      <c r="AI10" s="282"/>
      <c r="AJ10" s="282"/>
      <c r="AK10" s="282"/>
      <c r="AL10" s="282"/>
      <c r="AM10" s="282"/>
      <c r="AN10" s="282"/>
      <c r="AO10" s="282"/>
      <c r="AP10" s="282"/>
      <c r="AQ10" s="283"/>
      <c r="AR10" s="281" t="str">
        <f>Service2!H15</f>
        <v>+14°</v>
      </c>
      <c r="AS10" s="282"/>
      <c r="AT10" s="282"/>
      <c r="AU10" s="282"/>
      <c r="AV10" s="282"/>
      <c r="AW10" s="282"/>
      <c r="AX10" s="283"/>
      <c r="AY10" s="155"/>
      <c r="AZ10" s="155"/>
      <c r="BA10" s="155"/>
      <c r="BB10" s="155"/>
      <c r="BC10" s="155"/>
      <c r="BD10" s="152"/>
      <c r="BE10" s="152"/>
      <c r="BF10" s="152"/>
    </row>
    <row r="11" spans="1:58" ht="15.75" x14ac:dyDescent="0.25">
      <c r="A11" s="281" t="str">
        <f>Service1!C15</f>
        <v>Саргатское</v>
      </c>
      <c r="B11" s="282"/>
      <c r="C11" s="282"/>
      <c r="D11" s="282"/>
      <c r="E11" s="282"/>
      <c r="F11" s="282"/>
      <c r="G11" s="282"/>
      <c r="H11" s="282"/>
      <c r="I11" s="282"/>
      <c r="J11" s="282"/>
      <c r="K11" s="282"/>
      <c r="L11" s="283"/>
      <c r="M11" s="285" t="str">
        <f>Service2!M16</f>
        <v xml:space="preserve"> Облачно</v>
      </c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7"/>
      <c r="AC11" s="284" t="str">
        <f>Service2!N16</f>
        <v>Без осадков</v>
      </c>
      <c r="AD11" s="282"/>
      <c r="AE11" s="282"/>
      <c r="AF11" s="282"/>
      <c r="AG11" s="282"/>
      <c r="AH11" s="282"/>
      <c r="AI11" s="282"/>
      <c r="AJ11" s="282"/>
      <c r="AK11" s="282"/>
      <c r="AL11" s="282"/>
      <c r="AM11" s="282"/>
      <c r="AN11" s="282"/>
      <c r="AO11" s="282"/>
      <c r="AP11" s="282"/>
      <c r="AQ11" s="283"/>
      <c r="AR11" s="281" t="str">
        <f>Service2!H16</f>
        <v>+16°</v>
      </c>
      <c r="AS11" s="282"/>
      <c r="AT11" s="282"/>
      <c r="AU11" s="282"/>
      <c r="AV11" s="282"/>
      <c r="AW11" s="282"/>
      <c r="AX11" s="283"/>
      <c r="AY11" s="155"/>
      <c r="AZ11" s="155"/>
      <c r="BA11" s="155"/>
      <c r="BB11" s="155"/>
      <c r="BC11" s="155"/>
      <c r="BD11" s="152"/>
      <c r="BE11" s="152"/>
      <c r="BF11" s="152"/>
    </row>
    <row r="12" spans="1:58" ht="15.75" x14ac:dyDescent="0.25">
      <c r="A12" s="282"/>
      <c r="B12" s="282"/>
      <c r="C12" s="282"/>
      <c r="D12" s="282"/>
      <c r="E12" s="282"/>
      <c r="F12" s="282"/>
      <c r="G12" s="282"/>
      <c r="H12" s="282"/>
      <c r="I12" s="282"/>
      <c r="J12" s="282"/>
      <c r="K12" s="282"/>
      <c r="L12" s="282"/>
      <c r="M12" s="282"/>
      <c r="N12" s="282"/>
      <c r="O12" s="282"/>
      <c r="P12" s="282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7"/>
      <c r="AD12" s="157"/>
      <c r="AE12" s="157"/>
      <c r="AF12" s="153"/>
      <c r="AG12" s="153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  <c r="AV12" s="153"/>
      <c r="AW12" s="153"/>
      <c r="AX12" s="153"/>
      <c r="AY12" s="154"/>
      <c r="AZ12" s="154"/>
      <c r="BA12" s="154"/>
      <c r="BB12" s="154"/>
      <c r="BC12" s="154"/>
      <c r="BD12" s="152"/>
      <c r="BE12" s="152"/>
      <c r="BF12" s="152"/>
    </row>
    <row r="13" spans="1:58" ht="15.75" x14ac:dyDescent="0.25">
      <c r="A13" s="281" t="str">
        <f>Service1!D9</f>
        <v>Исилькуль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3"/>
      <c r="M13" s="284" t="str">
        <f>Service2!M17</f>
        <v xml:space="preserve"> Облачно</v>
      </c>
      <c r="N13" s="282"/>
      <c r="O13" s="282"/>
      <c r="P13" s="282"/>
      <c r="Q13" s="282"/>
      <c r="R13" s="282"/>
      <c r="S13" s="282"/>
      <c r="T13" s="282"/>
      <c r="U13" s="282"/>
      <c r="V13" s="282"/>
      <c r="W13" s="282"/>
      <c r="X13" s="282"/>
      <c r="Y13" s="282"/>
      <c r="Z13" s="282"/>
      <c r="AA13" s="282"/>
      <c r="AB13" s="283"/>
      <c r="AC13" s="284" t="str">
        <f>Service2!N17</f>
        <v>Без осадков</v>
      </c>
      <c r="AD13" s="282"/>
      <c r="AE13" s="282"/>
      <c r="AF13" s="282"/>
      <c r="AG13" s="282"/>
      <c r="AH13" s="282"/>
      <c r="AI13" s="282"/>
      <c r="AJ13" s="282"/>
      <c r="AK13" s="282"/>
      <c r="AL13" s="282"/>
      <c r="AM13" s="282"/>
      <c r="AN13" s="282"/>
      <c r="AO13" s="282"/>
      <c r="AP13" s="282"/>
      <c r="AQ13" s="283"/>
      <c r="AR13" s="281" t="str">
        <f>Service2!H17</f>
        <v>+16°</v>
      </c>
      <c r="AS13" s="282"/>
      <c r="AT13" s="282"/>
      <c r="AU13" s="282"/>
      <c r="AV13" s="282"/>
      <c r="AW13" s="282"/>
      <c r="AX13" s="283"/>
      <c r="AY13" s="155"/>
      <c r="AZ13" s="155"/>
      <c r="BA13" s="155"/>
      <c r="BB13" s="155"/>
      <c r="BC13" s="155"/>
      <c r="BD13" s="152"/>
      <c r="BE13" s="152"/>
      <c r="BF13" s="152"/>
    </row>
    <row r="14" spans="1:58" ht="15.75" x14ac:dyDescent="0.25">
      <c r="A14" s="281" t="str">
        <f>Service1!D10</f>
        <v>Калачинск</v>
      </c>
      <c r="B14" s="282"/>
      <c r="C14" s="282"/>
      <c r="D14" s="282"/>
      <c r="E14" s="282"/>
      <c r="F14" s="282"/>
      <c r="G14" s="282"/>
      <c r="H14" s="282"/>
      <c r="I14" s="282"/>
      <c r="J14" s="282"/>
      <c r="K14" s="282"/>
      <c r="L14" s="283"/>
      <c r="M14" s="284" t="str">
        <f>Service2!M18</f>
        <v xml:space="preserve"> Облачно</v>
      </c>
      <c r="N14" s="282"/>
      <c r="O14" s="282"/>
      <c r="P14" s="282"/>
      <c r="Q14" s="282"/>
      <c r="R14" s="282"/>
      <c r="S14" s="282"/>
      <c r="T14" s="282"/>
      <c r="U14" s="282"/>
      <c r="V14" s="282"/>
      <c r="W14" s="282"/>
      <c r="X14" s="282"/>
      <c r="Y14" s="282"/>
      <c r="Z14" s="282"/>
      <c r="AA14" s="282"/>
      <c r="AB14" s="283"/>
      <c r="AC14" s="284" t="str">
        <f>Service2!N18</f>
        <v>Без осадков</v>
      </c>
      <c r="AD14" s="282"/>
      <c r="AE14" s="282"/>
      <c r="AF14" s="282"/>
      <c r="AG14" s="282"/>
      <c r="AH14" s="282"/>
      <c r="AI14" s="282"/>
      <c r="AJ14" s="282"/>
      <c r="AK14" s="282"/>
      <c r="AL14" s="282"/>
      <c r="AM14" s="282"/>
      <c r="AN14" s="282"/>
      <c r="AO14" s="282"/>
      <c r="AP14" s="282"/>
      <c r="AQ14" s="283"/>
      <c r="AR14" s="281" t="str">
        <f>Service2!H18</f>
        <v>+16°</v>
      </c>
      <c r="AS14" s="282"/>
      <c r="AT14" s="282"/>
      <c r="AU14" s="282"/>
      <c r="AV14" s="282"/>
      <c r="AW14" s="282"/>
      <c r="AX14" s="283"/>
      <c r="AY14" s="155"/>
      <c r="AZ14" s="155"/>
      <c r="BA14" s="155"/>
      <c r="BB14" s="155"/>
      <c r="BC14" s="155"/>
      <c r="BD14" s="152"/>
      <c r="BE14" s="152"/>
      <c r="BF14" s="152"/>
    </row>
    <row r="15" spans="1:58" ht="15.75" x14ac:dyDescent="0.25">
      <c r="A15" s="281" t="str">
        <f>Service1!D11</f>
        <v>Полтавка</v>
      </c>
      <c r="B15" s="282"/>
      <c r="C15" s="282"/>
      <c r="D15" s="282"/>
      <c r="E15" s="282"/>
      <c r="F15" s="282"/>
      <c r="G15" s="282"/>
      <c r="H15" s="282"/>
      <c r="I15" s="282"/>
      <c r="J15" s="282"/>
      <c r="K15" s="282"/>
      <c r="L15" s="283"/>
      <c r="M15" s="284" t="str">
        <f>Service2!M19</f>
        <v xml:space="preserve"> Облачно</v>
      </c>
      <c r="N15" s="282"/>
      <c r="O15" s="282"/>
      <c r="P15" s="282"/>
      <c r="Q15" s="282"/>
      <c r="R15" s="282"/>
      <c r="S15" s="282"/>
      <c r="T15" s="282"/>
      <c r="U15" s="282"/>
      <c r="V15" s="282"/>
      <c r="W15" s="282"/>
      <c r="X15" s="282"/>
      <c r="Y15" s="282"/>
      <c r="Z15" s="282"/>
      <c r="AA15" s="282"/>
      <c r="AB15" s="283"/>
      <c r="AC15" s="284" t="str">
        <f>Service2!N19</f>
        <v>Без осадков</v>
      </c>
      <c r="AD15" s="282"/>
      <c r="AE15" s="282"/>
      <c r="AF15" s="282"/>
      <c r="AG15" s="282"/>
      <c r="AH15" s="282"/>
      <c r="AI15" s="282"/>
      <c r="AJ15" s="282"/>
      <c r="AK15" s="282"/>
      <c r="AL15" s="282"/>
      <c r="AM15" s="282"/>
      <c r="AN15" s="282"/>
      <c r="AO15" s="282"/>
      <c r="AP15" s="282"/>
      <c r="AQ15" s="283"/>
      <c r="AR15" s="281" t="str">
        <f>Service2!H19</f>
        <v>+16°</v>
      </c>
      <c r="AS15" s="282"/>
      <c r="AT15" s="282"/>
      <c r="AU15" s="282"/>
      <c r="AV15" s="282"/>
      <c r="AW15" s="282"/>
      <c r="AX15" s="283"/>
      <c r="AY15" s="155"/>
      <c r="AZ15" s="155"/>
      <c r="BA15" s="155"/>
      <c r="BB15" s="155"/>
      <c r="BC15" s="155"/>
      <c r="BD15" s="152"/>
      <c r="BE15" s="152"/>
      <c r="BF15" s="152"/>
    </row>
    <row r="16" spans="1:58" ht="15.75" x14ac:dyDescent="0.25">
      <c r="A16" s="281" t="str">
        <f>Service1!D12</f>
        <v>Русская Поляна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3"/>
      <c r="M16" s="284" t="str">
        <f>Service2!M20</f>
        <v xml:space="preserve"> Облачно с прояснениями</v>
      </c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3"/>
      <c r="AC16" s="284" t="str">
        <f>Service2!N20</f>
        <v>Без осадков</v>
      </c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  <c r="AO16" s="282"/>
      <c r="AP16" s="282"/>
      <c r="AQ16" s="283"/>
      <c r="AR16" s="281" t="str">
        <f>Service2!H20</f>
        <v>+15°</v>
      </c>
      <c r="AS16" s="282"/>
      <c r="AT16" s="282"/>
      <c r="AU16" s="282"/>
      <c r="AV16" s="282"/>
      <c r="AW16" s="282"/>
      <c r="AX16" s="283"/>
      <c r="AY16" s="155"/>
      <c r="AZ16" s="155"/>
      <c r="BA16" s="155"/>
      <c r="BB16" s="155"/>
      <c r="BC16" s="155"/>
      <c r="BD16" s="152"/>
      <c r="BE16" s="152"/>
      <c r="BF16" s="152"/>
    </row>
    <row r="17" spans="1:58" ht="15.75" x14ac:dyDescent="0.25">
      <c r="A17" s="281" t="str">
        <f>Service1!D13</f>
        <v>Черлак</v>
      </c>
      <c r="B17" s="282"/>
      <c r="C17" s="282"/>
      <c r="D17" s="282"/>
      <c r="E17" s="282"/>
      <c r="F17" s="282"/>
      <c r="G17" s="282"/>
      <c r="H17" s="282"/>
      <c r="I17" s="282"/>
      <c r="J17" s="282"/>
      <c r="K17" s="282"/>
      <c r="L17" s="283"/>
      <c r="M17" s="284" t="str">
        <f>Service2!M21</f>
        <v xml:space="preserve"> Облачно</v>
      </c>
      <c r="N17" s="282"/>
      <c r="O17" s="282"/>
      <c r="P17" s="282"/>
      <c r="Q17" s="282"/>
      <c r="R17" s="282"/>
      <c r="S17" s="282"/>
      <c r="T17" s="282"/>
      <c r="U17" s="282"/>
      <c r="V17" s="282"/>
      <c r="W17" s="282"/>
      <c r="X17" s="282"/>
      <c r="Y17" s="282"/>
      <c r="Z17" s="282"/>
      <c r="AA17" s="282"/>
      <c r="AB17" s="283"/>
      <c r="AC17" s="284" t="str">
        <f>Service2!N21</f>
        <v>Без осадков</v>
      </c>
      <c r="AD17" s="282"/>
      <c r="AE17" s="282"/>
      <c r="AF17" s="282"/>
      <c r="AG17" s="282"/>
      <c r="AH17" s="282"/>
      <c r="AI17" s="282"/>
      <c r="AJ17" s="282"/>
      <c r="AK17" s="282"/>
      <c r="AL17" s="282"/>
      <c r="AM17" s="282"/>
      <c r="AN17" s="282"/>
      <c r="AO17" s="282"/>
      <c r="AP17" s="282"/>
      <c r="AQ17" s="283"/>
      <c r="AR17" s="281" t="str">
        <f>Service2!H21</f>
        <v>+16°</v>
      </c>
      <c r="AS17" s="282"/>
      <c r="AT17" s="282"/>
      <c r="AU17" s="282"/>
      <c r="AV17" s="282"/>
      <c r="AW17" s="282"/>
      <c r="AX17" s="283"/>
      <c r="AY17" s="155"/>
      <c r="AZ17" s="155"/>
      <c r="BA17" s="155"/>
      <c r="BB17" s="155"/>
      <c r="BC17" s="155"/>
      <c r="BD17" s="152"/>
      <c r="BE17" s="152"/>
      <c r="BF17" s="152"/>
    </row>
    <row r="18" spans="1:58" ht="15.75" x14ac:dyDescent="0.25">
      <c r="A18" s="281" t="str">
        <f>Service1!D14</f>
        <v>Одесское</v>
      </c>
      <c r="B18" s="282"/>
      <c r="C18" s="282"/>
      <c r="D18" s="282"/>
      <c r="E18" s="282"/>
      <c r="F18" s="282"/>
      <c r="G18" s="282"/>
      <c r="H18" s="282"/>
      <c r="I18" s="282"/>
      <c r="J18" s="282"/>
      <c r="K18" s="282"/>
      <c r="L18" s="283"/>
      <c r="M18" s="284" t="str">
        <f>Service2!M22</f>
        <v xml:space="preserve"> Облачно</v>
      </c>
      <c r="N18" s="282"/>
      <c r="O18" s="282"/>
      <c r="P18" s="282"/>
      <c r="Q18" s="282"/>
      <c r="R18" s="282"/>
      <c r="S18" s="282"/>
      <c r="T18" s="282"/>
      <c r="U18" s="282"/>
      <c r="V18" s="282"/>
      <c r="W18" s="282"/>
      <c r="X18" s="282"/>
      <c r="Y18" s="282"/>
      <c r="Z18" s="282"/>
      <c r="AA18" s="282"/>
      <c r="AB18" s="283"/>
      <c r="AC18" s="284" t="str">
        <f>Service2!N22</f>
        <v>Без осадков</v>
      </c>
      <c r="AD18" s="282"/>
      <c r="AE18" s="282"/>
      <c r="AF18" s="282"/>
      <c r="AG18" s="282"/>
      <c r="AH18" s="282"/>
      <c r="AI18" s="282"/>
      <c r="AJ18" s="282"/>
      <c r="AK18" s="282"/>
      <c r="AL18" s="282"/>
      <c r="AM18" s="282"/>
      <c r="AN18" s="282"/>
      <c r="AO18" s="282"/>
      <c r="AP18" s="282"/>
      <c r="AQ18" s="283"/>
      <c r="AR18" s="281" t="str">
        <f>Service2!H22</f>
        <v>+16°</v>
      </c>
      <c r="AS18" s="282"/>
      <c r="AT18" s="282"/>
      <c r="AU18" s="282"/>
      <c r="AV18" s="282"/>
      <c r="AW18" s="282"/>
      <c r="AX18" s="283"/>
      <c r="AY18" s="155"/>
      <c r="AZ18" s="155"/>
      <c r="BA18" s="155"/>
      <c r="BB18" s="155"/>
      <c r="BC18" s="155"/>
      <c r="BD18" s="152"/>
      <c r="BE18" s="152"/>
      <c r="BF18" s="152"/>
    </row>
    <row r="19" spans="1:58" ht="15.75" x14ac:dyDescent="0.25">
      <c r="A19" s="281" t="str">
        <f>Service1!D15</f>
        <v>Павлоградка</v>
      </c>
      <c r="B19" s="282"/>
      <c r="C19" s="282"/>
      <c r="D19" s="282"/>
      <c r="E19" s="282"/>
      <c r="F19" s="282"/>
      <c r="G19" s="282"/>
      <c r="H19" s="282"/>
      <c r="I19" s="282"/>
      <c r="J19" s="282"/>
      <c r="K19" s="282"/>
      <c r="L19" s="283"/>
      <c r="M19" s="284" t="str">
        <f>Service2!M23</f>
        <v xml:space="preserve"> Облачно</v>
      </c>
      <c r="N19" s="282"/>
      <c r="O19" s="282"/>
      <c r="P19" s="282"/>
      <c r="Q19" s="282"/>
      <c r="R19" s="282"/>
      <c r="S19" s="282"/>
      <c r="T19" s="282"/>
      <c r="U19" s="282"/>
      <c r="V19" s="282"/>
      <c r="W19" s="282"/>
      <c r="X19" s="282"/>
      <c r="Y19" s="282"/>
      <c r="Z19" s="282"/>
      <c r="AA19" s="282"/>
      <c r="AB19" s="283"/>
      <c r="AC19" s="284" t="str">
        <f>Service2!N23</f>
        <v>Без осадков</v>
      </c>
      <c r="AD19" s="282"/>
      <c r="AE19" s="282"/>
      <c r="AF19" s="282"/>
      <c r="AG19" s="282"/>
      <c r="AH19" s="282"/>
      <c r="AI19" s="282"/>
      <c r="AJ19" s="282"/>
      <c r="AK19" s="282"/>
      <c r="AL19" s="282"/>
      <c r="AM19" s="282"/>
      <c r="AN19" s="282"/>
      <c r="AO19" s="282"/>
      <c r="AP19" s="282"/>
      <c r="AQ19" s="283"/>
      <c r="AR19" s="281" t="str">
        <f>Service2!H23</f>
        <v>+16°</v>
      </c>
      <c r="AS19" s="282"/>
      <c r="AT19" s="282"/>
      <c r="AU19" s="282"/>
      <c r="AV19" s="282"/>
      <c r="AW19" s="282"/>
      <c r="AX19" s="283"/>
      <c r="AY19" s="155"/>
      <c r="AZ19" s="155"/>
      <c r="BA19" s="155"/>
      <c r="BB19" s="155"/>
      <c r="BC19" s="155"/>
      <c r="BD19" s="152"/>
      <c r="BE19" s="152"/>
      <c r="BF19" s="152"/>
    </row>
    <row r="20" spans="1:58" ht="15.75" x14ac:dyDescent="0.25">
      <c r="A20" s="153"/>
      <c r="B20" s="153"/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293"/>
      <c r="R20" s="293"/>
      <c r="S20" s="293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158"/>
      <c r="AG20" s="153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  <c r="AV20" s="153"/>
      <c r="AW20" s="153"/>
      <c r="AX20" s="153"/>
      <c r="AY20" s="154"/>
      <c r="AZ20" s="154"/>
      <c r="BA20" s="154"/>
      <c r="BB20" s="154"/>
      <c r="BC20" s="154"/>
      <c r="BD20" s="152"/>
      <c r="BE20" s="152"/>
      <c r="BF20" s="152"/>
    </row>
    <row r="21" spans="1:58" ht="15.75" x14ac:dyDescent="0.25">
      <c r="A21" s="281" t="str">
        <f>Service1!C6</f>
        <v>Омск</v>
      </c>
      <c r="B21" s="282"/>
      <c r="C21" s="282"/>
      <c r="D21" s="282"/>
      <c r="E21" s="282"/>
      <c r="F21" s="282"/>
      <c r="G21" s="282"/>
      <c r="H21" s="282"/>
      <c r="I21" s="282"/>
      <c r="J21" s="282"/>
      <c r="K21" s="282"/>
      <c r="L21" s="283"/>
      <c r="M21" s="284" t="str">
        <f>Service2!M9</f>
        <v xml:space="preserve"> Облачно</v>
      </c>
      <c r="N21" s="282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3"/>
      <c r="AC21" s="284" t="str">
        <f>Service2!N9</f>
        <v>Без осадков</v>
      </c>
      <c r="AD21" s="282"/>
      <c r="AE21" s="282"/>
      <c r="AF21" s="282"/>
      <c r="AG21" s="282"/>
      <c r="AH21" s="282"/>
      <c r="AI21" s="282"/>
      <c r="AJ21" s="282"/>
      <c r="AK21" s="282"/>
      <c r="AL21" s="282"/>
      <c r="AM21" s="282"/>
      <c r="AN21" s="282"/>
      <c r="AO21" s="282"/>
      <c r="AP21" s="282"/>
      <c r="AQ21" s="283"/>
      <c r="AR21" s="281" t="str">
        <f>Service2!H9</f>
        <v>+16°</v>
      </c>
      <c r="AS21" s="282"/>
      <c r="AT21" s="282"/>
      <c r="AU21" s="282"/>
      <c r="AV21" s="282"/>
      <c r="AW21" s="282"/>
      <c r="AX21" s="283"/>
      <c r="AY21" s="155"/>
      <c r="AZ21" s="155"/>
      <c r="BA21" s="155"/>
      <c r="BB21" s="155"/>
      <c r="BC21" s="155"/>
      <c r="BD21" s="152"/>
      <c r="BE21" s="152"/>
      <c r="BF21" s="152"/>
    </row>
    <row r="22" spans="1:58" s="159" customFormat="1" ht="18.75" x14ac:dyDescent="0.25">
      <c r="A22" s="153"/>
      <c r="B22" s="153"/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291" t="s">
        <v>39</v>
      </c>
      <c r="N22" s="292"/>
      <c r="O22" s="292"/>
      <c r="P22" s="292"/>
      <c r="Q22" s="292"/>
      <c r="R22" s="282" t="str">
        <f>LOWER(Service2!G6)</f>
        <v>юго-западный</v>
      </c>
      <c r="S22" s="282"/>
      <c r="T22" s="282"/>
      <c r="U22" s="282"/>
      <c r="V22" s="282"/>
      <c r="W22" s="282"/>
      <c r="X22" s="282"/>
      <c r="Y22" s="282"/>
      <c r="Z22" s="282"/>
      <c r="AA22" s="282"/>
      <c r="AB22" s="282"/>
      <c r="AC22" s="282"/>
      <c r="AD22" s="283"/>
      <c r="AE22" s="281" t="str">
        <f>Service2!I6</f>
        <v>3 м/с</v>
      </c>
      <c r="AF22" s="282"/>
      <c r="AG22" s="282"/>
      <c r="AH22" s="282"/>
      <c r="AI22" s="282"/>
      <c r="AJ22" s="282"/>
      <c r="AK22" s="282"/>
      <c r="AL22" s="282"/>
      <c r="AM22" s="283"/>
      <c r="AP22" s="153"/>
      <c r="AQ22" s="153"/>
      <c r="AR22" s="153"/>
      <c r="AS22" s="153"/>
      <c r="AT22" s="153"/>
      <c r="AU22" s="153"/>
      <c r="AV22" s="153"/>
      <c r="AW22" s="153"/>
      <c r="AX22" s="153"/>
      <c r="AY22" s="154"/>
      <c r="AZ22" s="154"/>
      <c r="BA22" s="154"/>
      <c r="BB22" s="154"/>
      <c r="BC22" s="154"/>
      <c r="BD22" s="160"/>
      <c r="BE22" s="160"/>
      <c r="BF22" s="160"/>
    </row>
    <row r="23" spans="1:58" x14ac:dyDescent="0.25">
      <c r="A23" s="161"/>
      <c r="B23" s="161"/>
      <c r="C23" s="161"/>
      <c r="D23" s="161"/>
      <c r="E23" s="161"/>
      <c r="F23" s="161"/>
      <c r="G23" s="161"/>
      <c r="H23" s="161"/>
      <c r="I23" s="161"/>
      <c r="J23" s="161"/>
      <c r="K23" s="161"/>
      <c r="L23" s="161"/>
      <c r="M23" s="161"/>
      <c r="N23" s="161"/>
      <c r="O23" s="161"/>
      <c r="P23" s="161"/>
      <c r="Q23" s="161"/>
      <c r="R23" s="161"/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161"/>
      <c r="AM23" s="161"/>
      <c r="AN23" s="161"/>
      <c r="AO23" s="161"/>
      <c r="AP23" s="161"/>
      <c r="AQ23" s="161"/>
      <c r="AR23" s="161"/>
      <c r="AS23" s="161"/>
      <c r="AT23" s="161"/>
      <c r="AU23" s="161"/>
      <c r="AV23" s="161"/>
      <c r="AW23" s="161"/>
      <c r="AX23" s="161"/>
      <c r="AY23" s="162"/>
      <c r="AZ23" s="162"/>
      <c r="BA23" s="162"/>
      <c r="BB23" s="162"/>
      <c r="BC23" s="162"/>
      <c r="BD23" s="152"/>
      <c r="BE23" s="152"/>
      <c r="BF23" s="152"/>
    </row>
    <row r="24" spans="1:58" x14ac:dyDescent="0.25">
      <c r="A24" s="161"/>
      <c r="B24" s="161"/>
      <c r="C24" s="161"/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</row>
    <row r="25" spans="1:58" x14ac:dyDescent="0.25">
      <c r="A25" s="161"/>
      <c r="B25" s="161"/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</row>
    <row r="26" spans="1:58" x14ac:dyDescent="0.25">
      <c r="A26" s="161"/>
      <c r="B26" s="161"/>
      <c r="C26" s="161"/>
      <c r="D26" s="161"/>
      <c r="E26" s="161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  <c r="AM26" s="161"/>
      <c r="AN26" s="161"/>
      <c r="AO26" s="161"/>
      <c r="AP26" s="161"/>
      <c r="AQ26" s="161"/>
      <c r="AR26" s="161"/>
      <c r="AS26" s="161"/>
      <c r="AT26" s="161"/>
      <c r="AU26" s="161"/>
      <c r="AV26" s="161"/>
      <c r="AW26" s="161"/>
      <c r="AX26" s="161"/>
      <c r="AY26" s="161"/>
      <c r="AZ26" s="161"/>
      <c r="BA26" s="161"/>
      <c r="BB26" s="161"/>
      <c r="BC26" s="161"/>
    </row>
    <row r="27" spans="1:58" x14ac:dyDescent="0.25">
      <c r="A27" s="161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/>
      <c r="AM27" s="161"/>
      <c r="AN27" s="161"/>
      <c r="AO27" s="161"/>
      <c r="AP27" s="161"/>
      <c r="AQ27" s="161"/>
      <c r="AR27" s="161"/>
      <c r="AS27" s="161"/>
      <c r="AT27" s="161"/>
      <c r="AU27" s="161"/>
      <c r="AV27" s="161"/>
      <c r="AW27" s="161"/>
      <c r="AX27" s="161"/>
      <c r="AY27" s="161"/>
      <c r="AZ27" s="161"/>
      <c r="BA27" s="161"/>
      <c r="BB27" s="161"/>
      <c r="BC27" s="161"/>
    </row>
    <row r="28" spans="1:58" x14ac:dyDescent="0.25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AZ28" s="161"/>
      <c r="BA28" s="161"/>
      <c r="BB28" s="161"/>
      <c r="BC28" s="161"/>
    </row>
  </sheetData>
  <sheetProtection password="C71F" sheet="1" objects="1" scenarios="1" selectLockedCells="1" selectUnlockedCells="1"/>
  <mergeCells count="69">
    <mergeCell ref="AR18:AX18"/>
    <mergeCell ref="AR19:AX19"/>
    <mergeCell ref="AC17:AQ17"/>
    <mergeCell ref="M22:Q22"/>
    <mergeCell ref="R22:AD22"/>
    <mergeCell ref="AE22:AM22"/>
    <mergeCell ref="Q20:AE20"/>
    <mergeCell ref="M18:AB18"/>
    <mergeCell ref="M19:AB19"/>
    <mergeCell ref="M21:AB21"/>
    <mergeCell ref="AC21:AQ21"/>
    <mergeCell ref="AR21:AX21"/>
    <mergeCell ref="AR17:AX17"/>
    <mergeCell ref="AC18:AQ18"/>
    <mergeCell ref="AC19:AQ19"/>
    <mergeCell ref="A3:Q3"/>
    <mergeCell ref="R3:AH3"/>
    <mergeCell ref="AI3:AX3"/>
    <mergeCell ref="A11:L11"/>
    <mergeCell ref="A10:L10"/>
    <mergeCell ref="A9:L9"/>
    <mergeCell ref="A8:L8"/>
    <mergeCell ref="A7:L7"/>
    <mergeCell ref="A6:L6"/>
    <mergeCell ref="A5:L5"/>
    <mergeCell ref="AC10:AQ10"/>
    <mergeCell ref="AC11:AQ11"/>
    <mergeCell ref="AR10:AX10"/>
    <mergeCell ref="AR11:AX11"/>
    <mergeCell ref="M5:AB5"/>
    <mergeCell ref="AC8:AQ8"/>
    <mergeCell ref="AC5:AQ5"/>
    <mergeCell ref="M11:AB11"/>
    <mergeCell ref="A12:P12"/>
    <mergeCell ref="A18:L18"/>
    <mergeCell ref="A19:L19"/>
    <mergeCell ref="M17:AB17"/>
    <mergeCell ref="M16:AB16"/>
    <mergeCell ref="AC9:AQ9"/>
    <mergeCell ref="M13:AB13"/>
    <mergeCell ref="M14:AB14"/>
    <mergeCell ref="M15:AB15"/>
    <mergeCell ref="M6:AB6"/>
    <mergeCell ref="M7:AB7"/>
    <mergeCell ref="M8:AB8"/>
    <mergeCell ref="M9:AB9"/>
    <mergeCell ref="M10:AB10"/>
    <mergeCell ref="A21:L21"/>
    <mergeCell ref="A14:L14"/>
    <mergeCell ref="A13:L13"/>
    <mergeCell ref="A15:L15"/>
    <mergeCell ref="A16:L16"/>
    <mergeCell ref="A17:L17"/>
    <mergeCell ref="A1:AX1"/>
    <mergeCell ref="AR13:AX13"/>
    <mergeCell ref="AR14:AX14"/>
    <mergeCell ref="AR15:AX15"/>
    <mergeCell ref="AR16:AX16"/>
    <mergeCell ref="AR5:AX5"/>
    <mergeCell ref="AR6:AX6"/>
    <mergeCell ref="AR7:AX7"/>
    <mergeCell ref="AR8:AX8"/>
    <mergeCell ref="AR9:AX9"/>
    <mergeCell ref="AC13:AQ13"/>
    <mergeCell ref="AC14:AQ14"/>
    <mergeCell ref="AC15:AQ15"/>
    <mergeCell ref="AC16:AQ16"/>
    <mergeCell ref="AC6:AQ6"/>
    <mergeCell ref="AC7:AQ7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F28"/>
  <sheetViews>
    <sheetView workbookViewId="0">
      <selection activeCell="A2" sqref="A2"/>
    </sheetView>
  </sheetViews>
  <sheetFormatPr defaultColWidth="1.7109375" defaultRowHeight="15" x14ac:dyDescent="0.25"/>
  <cols>
    <col min="1" max="1" width="1.7109375" style="164" customWidth="1"/>
    <col min="2" max="16384" width="1.7109375" style="164"/>
  </cols>
  <sheetData>
    <row r="1" spans="1:58" ht="15.75" x14ac:dyDescent="0.25">
      <c r="A1" s="311" t="s">
        <v>205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1"/>
      <c r="AB1" s="311"/>
      <c r="AC1" s="311"/>
      <c r="AD1" s="311"/>
      <c r="AE1" s="311"/>
      <c r="AF1" s="311"/>
      <c r="AG1" s="311"/>
      <c r="AH1" s="311"/>
      <c r="AI1" s="311"/>
      <c r="AJ1" s="311"/>
      <c r="AK1" s="311"/>
      <c r="AL1" s="311"/>
      <c r="AM1" s="311"/>
      <c r="AN1" s="311"/>
      <c r="AO1" s="311"/>
      <c r="AP1" s="311"/>
      <c r="AQ1" s="311"/>
      <c r="AR1" s="311"/>
      <c r="AS1" s="311"/>
      <c r="AT1" s="311"/>
      <c r="AU1" s="311"/>
      <c r="AV1" s="311"/>
      <c r="AW1" s="311"/>
      <c r="AX1" s="311"/>
      <c r="AY1" s="163"/>
      <c r="AZ1" s="163"/>
      <c r="BA1" s="163"/>
      <c r="BB1" s="163"/>
      <c r="BC1" s="163"/>
    </row>
    <row r="2" spans="1:58" ht="5.25" customHeight="1" x14ac:dyDescent="0.25">
      <c r="A2" s="165"/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</row>
    <row r="3" spans="1:58" ht="15.75" x14ac:dyDescent="0.25">
      <c r="A3" s="312" t="str">
        <f>Service2!C14</f>
        <v>5 октября</v>
      </c>
      <c r="B3" s="313"/>
      <c r="C3" s="313"/>
      <c r="D3" s="313"/>
      <c r="E3" s="313"/>
      <c r="F3" s="313"/>
      <c r="G3" s="313"/>
      <c r="H3" s="313"/>
      <c r="I3" s="313"/>
      <c r="J3" s="313"/>
      <c r="K3" s="313"/>
      <c r="L3" s="313"/>
      <c r="M3" s="313"/>
      <c r="N3" s="313"/>
      <c r="O3" s="313"/>
      <c r="P3" s="313"/>
      <c r="Q3" s="313"/>
      <c r="R3" s="314" t="str">
        <f>Service2!C10</f>
        <v>Суббота</v>
      </c>
      <c r="S3" s="314"/>
      <c r="T3" s="314"/>
      <c r="U3" s="314"/>
      <c r="V3" s="314"/>
      <c r="W3" s="314"/>
      <c r="X3" s="314"/>
      <c r="Y3" s="314"/>
      <c r="Z3" s="314"/>
      <c r="AA3" s="314"/>
      <c r="AB3" s="314"/>
      <c r="AC3" s="314"/>
      <c r="AD3" s="314"/>
      <c r="AE3" s="314"/>
      <c r="AF3" s="314"/>
      <c r="AG3" s="314"/>
      <c r="AH3" s="314"/>
      <c r="AI3" s="314" t="s">
        <v>21</v>
      </c>
      <c r="AJ3" s="314"/>
      <c r="AK3" s="314"/>
      <c r="AL3" s="314"/>
      <c r="AM3" s="314"/>
      <c r="AN3" s="314"/>
      <c r="AO3" s="314"/>
      <c r="AP3" s="314"/>
      <c r="AQ3" s="314"/>
      <c r="AR3" s="314"/>
      <c r="AS3" s="314"/>
      <c r="AT3" s="314"/>
      <c r="AU3" s="314"/>
      <c r="AV3" s="314"/>
      <c r="AW3" s="314"/>
      <c r="AX3" s="314"/>
      <c r="AY3" s="166"/>
      <c r="AZ3" s="166"/>
      <c r="BA3" s="166"/>
      <c r="BB3" s="166"/>
      <c r="BC3" s="166"/>
      <c r="BD3" s="167"/>
      <c r="BE3" s="167"/>
      <c r="BF3" s="167"/>
    </row>
    <row r="4" spans="1:58" ht="15.75" x14ac:dyDescent="0.25">
      <c r="A4" s="168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9"/>
      <c r="AZ4" s="169"/>
      <c r="BA4" s="169"/>
      <c r="BB4" s="169"/>
      <c r="BC4" s="169"/>
      <c r="BD4" s="167"/>
      <c r="BE4" s="167"/>
      <c r="BF4" s="167"/>
    </row>
    <row r="5" spans="1:58" ht="15.75" x14ac:dyDescent="0.25">
      <c r="A5" s="299" t="str">
        <f>Service1!C9</f>
        <v>Усть-Ишим</v>
      </c>
      <c r="B5" s="300"/>
      <c r="C5" s="300"/>
      <c r="D5" s="300"/>
      <c r="E5" s="300"/>
      <c r="F5" s="300"/>
      <c r="G5" s="300"/>
      <c r="H5" s="300"/>
      <c r="I5" s="300"/>
      <c r="J5" s="300"/>
      <c r="K5" s="300"/>
      <c r="L5" s="301"/>
      <c r="M5" s="309" t="str">
        <f>Service2!AE10</f>
        <v xml:space="preserve"> Облачно с прояснениями</v>
      </c>
      <c r="N5" s="310"/>
      <c r="O5" s="310"/>
      <c r="P5" s="310"/>
      <c r="Q5" s="310"/>
      <c r="R5" s="310"/>
      <c r="S5" s="310"/>
      <c r="T5" s="310"/>
      <c r="U5" s="310"/>
      <c r="V5" s="310"/>
      <c r="W5" s="310"/>
      <c r="X5" s="310"/>
      <c r="Y5" s="310"/>
      <c r="Z5" s="310"/>
      <c r="AA5" s="310"/>
      <c r="AB5" s="310"/>
      <c r="AC5" s="285" t="str">
        <f>Service2!AF10</f>
        <v>Без осадков</v>
      </c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7"/>
      <c r="AR5" s="299" t="str">
        <f>Service2!Z10</f>
        <v>+14°</v>
      </c>
      <c r="AS5" s="300"/>
      <c r="AT5" s="300"/>
      <c r="AU5" s="300"/>
      <c r="AV5" s="300"/>
      <c r="AW5" s="300"/>
      <c r="AX5" s="301"/>
      <c r="AY5" s="170"/>
      <c r="AZ5" s="170"/>
      <c r="BA5" s="170"/>
      <c r="BB5" s="170"/>
      <c r="BC5" s="170"/>
      <c r="BD5" s="167"/>
      <c r="BE5" s="167"/>
      <c r="BF5" s="167"/>
    </row>
    <row r="6" spans="1:58" ht="15.75" x14ac:dyDescent="0.25">
      <c r="A6" s="299" t="str">
        <f>Service1!C10</f>
        <v>Тара</v>
      </c>
      <c r="B6" s="300"/>
      <c r="C6" s="300"/>
      <c r="D6" s="300"/>
      <c r="E6" s="300"/>
      <c r="F6" s="300"/>
      <c r="G6" s="300"/>
      <c r="H6" s="300"/>
      <c r="I6" s="300"/>
      <c r="J6" s="300"/>
      <c r="K6" s="300"/>
      <c r="L6" s="301"/>
      <c r="M6" s="309" t="str">
        <f>Service2!AE11</f>
        <v xml:space="preserve"> Облачно с прояснениями</v>
      </c>
      <c r="N6" s="310"/>
      <c r="O6" s="310"/>
      <c r="P6" s="310"/>
      <c r="Q6" s="310"/>
      <c r="R6" s="310"/>
      <c r="S6" s="310"/>
      <c r="T6" s="310"/>
      <c r="U6" s="310"/>
      <c r="V6" s="310"/>
      <c r="W6" s="310"/>
      <c r="X6" s="310"/>
      <c r="Y6" s="310"/>
      <c r="Z6" s="310"/>
      <c r="AA6" s="310"/>
      <c r="AB6" s="310"/>
      <c r="AC6" s="285" t="str">
        <f>Service2!AF11</f>
        <v>Без осадков</v>
      </c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7"/>
      <c r="AR6" s="299" t="str">
        <f>Service2!Z11</f>
        <v>+15°</v>
      </c>
      <c r="AS6" s="300"/>
      <c r="AT6" s="300"/>
      <c r="AU6" s="300"/>
      <c r="AV6" s="300"/>
      <c r="AW6" s="300"/>
      <c r="AX6" s="301"/>
      <c r="AY6" s="170"/>
      <c r="AZ6" s="170"/>
      <c r="BA6" s="170"/>
      <c r="BB6" s="170"/>
      <c r="BC6" s="170"/>
      <c r="BD6" s="167"/>
      <c r="BE6" s="167"/>
      <c r="BF6" s="167"/>
    </row>
    <row r="7" spans="1:58" ht="15.75" x14ac:dyDescent="0.25">
      <c r="A7" s="299" t="str">
        <f>Service1!C11</f>
        <v>Тюкалинск</v>
      </c>
      <c r="B7" s="300"/>
      <c r="C7" s="300"/>
      <c r="D7" s="300"/>
      <c r="E7" s="300"/>
      <c r="F7" s="300"/>
      <c r="G7" s="300"/>
      <c r="H7" s="300"/>
      <c r="I7" s="300"/>
      <c r="J7" s="300"/>
      <c r="K7" s="300"/>
      <c r="L7" s="301"/>
      <c r="M7" s="309" t="str">
        <f>Service2!AE12</f>
        <v xml:space="preserve"> Ясно</v>
      </c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0"/>
      <c r="AA7" s="310"/>
      <c r="AB7" s="310"/>
      <c r="AC7" s="285" t="str">
        <f>Service2!AF12</f>
        <v>Без осадков</v>
      </c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7"/>
      <c r="AR7" s="299" t="str">
        <f>Service2!Z12</f>
        <v>+16°</v>
      </c>
      <c r="AS7" s="300"/>
      <c r="AT7" s="300"/>
      <c r="AU7" s="300"/>
      <c r="AV7" s="300"/>
      <c r="AW7" s="300"/>
      <c r="AX7" s="301"/>
      <c r="AY7" s="170"/>
      <c r="AZ7" s="170"/>
      <c r="BA7" s="170"/>
      <c r="BB7" s="170"/>
      <c r="BC7" s="170"/>
      <c r="BD7" s="167"/>
      <c r="BE7" s="167"/>
      <c r="BF7" s="167"/>
    </row>
    <row r="8" spans="1:58" ht="15.75" x14ac:dyDescent="0.25">
      <c r="A8" s="299" t="str">
        <f>Service1!C12</f>
        <v>Большеречье</v>
      </c>
      <c r="B8" s="300"/>
      <c r="C8" s="300"/>
      <c r="D8" s="300"/>
      <c r="E8" s="300"/>
      <c r="F8" s="300"/>
      <c r="G8" s="300"/>
      <c r="H8" s="300"/>
      <c r="I8" s="300"/>
      <c r="J8" s="300"/>
      <c r="K8" s="300"/>
      <c r="L8" s="301"/>
      <c r="M8" s="309" t="str">
        <f>Service2!AE13</f>
        <v xml:space="preserve"> Облачно с прояснениями</v>
      </c>
      <c r="N8" s="310"/>
      <c r="O8" s="310"/>
      <c r="P8" s="310"/>
      <c r="Q8" s="310"/>
      <c r="R8" s="310"/>
      <c r="S8" s="310"/>
      <c r="T8" s="310"/>
      <c r="U8" s="310"/>
      <c r="V8" s="310"/>
      <c r="W8" s="310"/>
      <c r="X8" s="310"/>
      <c r="Y8" s="310"/>
      <c r="Z8" s="310"/>
      <c r="AA8" s="310"/>
      <c r="AB8" s="310"/>
      <c r="AC8" s="285" t="str">
        <f>Service2!AF13</f>
        <v>Без осадков</v>
      </c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7"/>
      <c r="AR8" s="299" t="str">
        <f>Service2!Z13</f>
        <v>+16°</v>
      </c>
      <c r="AS8" s="300"/>
      <c r="AT8" s="300"/>
      <c r="AU8" s="300"/>
      <c r="AV8" s="300"/>
      <c r="AW8" s="300"/>
      <c r="AX8" s="301"/>
      <c r="AY8" s="170"/>
      <c r="AZ8" s="170"/>
      <c r="BA8" s="170"/>
      <c r="BB8" s="170"/>
      <c r="BC8" s="170"/>
      <c r="BD8" s="167"/>
      <c r="BE8" s="167"/>
      <c r="BF8" s="167"/>
    </row>
    <row r="9" spans="1:58" ht="15.75" x14ac:dyDescent="0.25">
      <c r="A9" s="299" t="str">
        <f>Service1!C13</f>
        <v>Называевск</v>
      </c>
      <c r="B9" s="300"/>
      <c r="C9" s="300"/>
      <c r="D9" s="300"/>
      <c r="E9" s="300"/>
      <c r="F9" s="300"/>
      <c r="G9" s="300"/>
      <c r="H9" s="300"/>
      <c r="I9" s="300"/>
      <c r="J9" s="300"/>
      <c r="K9" s="300"/>
      <c r="L9" s="301"/>
      <c r="M9" s="309" t="str">
        <f>Service2!AE14</f>
        <v xml:space="preserve"> Ясно</v>
      </c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285" t="str">
        <f>Service2!AF14</f>
        <v>Без осадков</v>
      </c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7"/>
      <c r="AR9" s="299" t="str">
        <f>Service2!Z14</f>
        <v>+16°</v>
      </c>
      <c r="AS9" s="300"/>
      <c r="AT9" s="300"/>
      <c r="AU9" s="300"/>
      <c r="AV9" s="300"/>
      <c r="AW9" s="300"/>
      <c r="AX9" s="301"/>
      <c r="AY9" s="170"/>
      <c r="AZ9" s="170"/>
      <c r="BA9" s="170"/>
      <c r="BB9" s="170"/>
      <c r="BC9" s="170"/>
      <c r="BD9" s="167"/>
      <c r="BE9" s="167"/>
      <c r="BF9" s="167"/>
    </row>
    <row r="10" spans="1:58" ht="15.75" x14ac:dyDescent="0.25">
      <c r="A10" s="299" t="str">
        <f>Service1!C14</f>
        <v>Тевриз</v>
      </c>
      <c r="B10" s="300"/>
      <c r="C10" s="300"/>
      <c r="D10" s="300"/>
      <c r="E10" s="300"/>
      <c r="F10" s="300"/>
      <c r="G10" s="300"/>
      <c r="H10" s="300"/>
      <c r="I10" s="300"/>
      <c r="J10" s="300"/>
      <c r="K10" s="300"/>
      <c r="L10" s="301"/>
      <c r="M10" s="309" t="str">
        <f>Service2!AE15</f>
        <v xml:space="preserve"> Облачно с прояснениями</v>
      </c>
      <c r="N10" s="310"/>
      <c r="O10" s="310"/>
      <c r="P10" s="310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  <c r="AC10" s="285" t="str">
        <f>Service2!AF15</f>
        <v>Без осадков</v>
      </c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7"/>
      <c r="AR10" s="299" t="str">
        <f>Service2!Z15</f>
        <v>+14°</v>
      </c>
      <c r="AS10" s="300"/>
      <c r="AT10" s="300"/>
      <c r="AU10" s="300"/>
      <c r="AV10" s="300"/>
      <c r="AW10" s="300"/>
      <c r="AX10" s="301"/>
      <c r="AY10" s="170"/>
      <c r="AZ10" s="170"/>
      <c r="BA10" s="170"/>
      <c r="BB10" s="170"/>
      <c r="BC10" s="170"/>
      <c r="BD10" s="167"/>
      <c r="BE10" s="167"/>
      <c r="BF10" s="167"/>
    </row>
    <row r="11" spans="1:58" ht="15.75" x14ac:dyDescent="0.25">
      <c r="A11" s="299" t="str">
        <f>Service1!C15</f>
        <v>Саргатское</v>
      </c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1"/>
      <c r="M11" s="309" t="str">
        <f>Service2!AE16</f>
        <v xml:space="preserve"> Облачно с прояснениями</v>
      </c>
      <c r="N11" s="310"/>
      <c r="O11" s="310"/>
      <c r="P11" s="310"/>
      <c r="Q11" s="310"/>
      <c r="R11" s="310"/>
      <c r="S11" s="310"/>
      <c r="T11" s="310"/>
      <c r="U11" s="310"/>
      <c r="V11" s="310"/>
      <c r="W11" s="310"/>
      <c r="X11" s="310"/>
      <c r="Y11" s="310"/>
      <c r="Z11" s="310"/>
      <c r="AA11" s="310"/>
      <c r="AB11" s="310"/>
      <c r="AC11" s="285" t="str">
        <f>Service2!AF16</f>
        <v>Без осадков</v>
      </c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7"/>
      <c r="AR11" s="299" t="str">
        <f>Service2!Z16</f>
        <v>+16°</v>
      </c>
      <c r="AS11" s="300"/>
      <c r="AT11" s="300"/>
      <c r="AU11" s="300"/>
      <c r="AV11" s="300"/>
      <c r="AW11" s="300"/>
      <c r="AX11" s="301"/>
      <c r="AY11" s="170"/>
      <c r="AZ11" s="170"/>
      <c r="BA11" s="170"/>
      <c r="BB11" s="170"/>
      <c r="BC11" s="170"/>
      <c r="BD11" s="167"/>
      <c r="BE11" s="167"/>
      <c r="BF11" s="167"/>
    </row>
    <row r="12" spans="1:58" ht="15.75" x14ac:dyDescent="0.25">
      <c r="A12" s="300"/>
      <c r="B12" s="300"/>
      <c r="C12" s="300"/>
      <c r="D12" s="300"/>
      <c r="E12" s="300"/>
      <c r="F12" s="300"/>
      <c r="G12" s="300"/>
      <c r="H12" s="300"/>
      <c r="I12" s="300"/>
      <c r="J12" s="300"/>
      <c r="K12" s="300"/>
      <c r="L12" s="300"/>
      <c r="M12" s="300"/>
      <c r="N12" s="300"/>
      <c r="O12" s="300"/>
      <c r="P12" s="300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2"/>
      <c r="AD12" s="172"/>
      <c r="AE12" s="172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9"/>
      <c r="AZ12" s="169"/>
      <c r="BA12" s="169"/>
      <c r="BB12" s="169"/>
      <c r="BC12" s="169"/>
      <c r="BD12" s="167"/>
      <c r="BE12" s="167"/>
      <c r="BF12" s="167"/>
    </row>
    <row r="13" spans="1:58" ht="15.75" x14ac:dyDescent="0.25">
      <c r="A13" s="299" t="str">
        <f>Service1!D9</f>
        <v>Исилькуль</v>
      </c>
      <c r="B13" s="300"/>
      <c r="C13" s="300"/>
      <c r="D13" s="300"/>
      <c r="E13" s="300"/>
      <c r="F13" s="300"/>
      <c r="G13" s="300"/>
      <c r="H13" s="300"/>
      <c r="I13" s="300"/>
      <c r="J13" s="300"/>
      <c r="K13" s="300"/>
      <c r="L13" s="301"/>
      <c r="M13" s="302" t="str">
        <f>Service2!AE17</f>
        <v xml:space="preserve"> Ясно</v>
      </c>
      <c r="N13" s="303"/>
      <c r="O13" s="303"/>
      <c r="P13" s="303"/>
      <c r="Q13" s="303"/>
      <c r="R13" s="303"/>
      <c r="S13" s="303"/>
      <c r="T13" s="303"/>
      <c r="U13" s="303"/>
      <c r="V13" s="303"/>
      <c r="W13" s="303"/>
      <c r="X13" s="303"/>
      <c r="Y13" s="303"/>
      <c r="Z13" s="303"/>
      <c r="AA13" s="303"/>
      <c r="AB13" s="304"/>
      <c r="AC13" s="285" t="str">
        <f>Service2!AF17</f>
        <v>Без осадков</v>
      </c>
      <c r="AD13" s="286"/>
      <c r="AE13" s="286"/>
      <c r="AF13" s="286"/>
      <c r="AG13" s="286"/>
      <c r="AH13" s="286"/>
      <c r="AI13" s="286"/>
      <c r="AJ13" s="286"/>
      <c r="AK13" s="286"/>
      <c r="AL13" s="286"/>
      <c r="AM13" s="286"/>
      <c r="AN13" s="286"/>
      <c r="AO13" s="286"/>
      <c r="AP13" s="286"/>
      <c r="AQ13" s="287"/>
      <c r="AR13" s="299" t="str">
        <f>Service2!Z17</f>
        <v>+17°</v>
      </c>
      <c r="AS13" s="300"/>
      <c r="AT13" s="300"/>
      <c r="AU13" s="300"/>
      <c r="AV13" s="300"/>
      <c r="AW13" s="300"/>
      <c r="AX13" s="301"/>
      <c r="AY13" s="170"/>
      <c r="AZ13" s="170"/>
      <c r="BA13" s="170"/>
      <c r="BB13" s="170"/>
      <c r="BC13" s="170"/>
      <c r="BD13" s="167"/>
      <c r="BE13" s="167"/>
      <c r="BF13" s="167"/>
    </row>
    <row r="14" spans="1:58" ht="15.75" x14ac:dyDescent="0.25">
      <c r="A14" s="299" t="str">
        <f>Service1!D10</f>
        <v>Калачинск</v>
      </c>
      <c r="B14" s="300"/>
      <c r="C14" s="300"/>
      <c r="D14" s="300"/>
      <c r="E14" s="300"/>
      <c r="F14" s="300"/>
      <c r="G14" s="300"/>
      <c r="H14" s="300"/>
      <c r="I14" s="300"/>
      <c r="J14" s="300"/>
      <c r="K14" s="300"/>
      <c r="L14" s="301"/>
      <c r="M14" s="302" t="str">
        <f>Service2!AE18</f>
        <v xml:space="preserve"> Ясно</v>
      </c>
      <c r="N14" s="303"/>
      <c r="O14" s="303"/>
      <c r="P14" s="303"/>
      <c r="Q14" s="303"/>
      <c r="R14" s="303"/>
      <c r="S14" s="303"/>
      <c r="T14" s="303"/>
      <c r="U14" s="303"/>
      <c r="V14" s="303"/>
      <c r="W14" s="303"/>
      <c r="X14" s="303"/>
      <c r="Y14" s="303"/>
      <c r="Z14" s="303"/>
      <c r="AA14" s="303"/>
      <c r="AB14" s="304"/>
      <c r="AC14" s="285" t="str">
        <f>Service2!AF18</f>
        <v>Без осадков</v>
      </c>
      <c r="AD14" s="286"/>
      <c r="AE14" s="286"/>
      <c r="AF14" s="286"/>
      <c r="AG14" s="286"/>
      <c r="AH14" s="286"/>
      <c r="AI14" s="286"/>
      <c r="AJ14" s="286"/>
      <c r="AK14" s="286"/>
      <c r="AL14" s="286"/>
      <c r="AM14" s="286"/>
      <c r="AN14" s="286"/>
      <c r="AO14" s="286"/>
      <c r="AP14" s="286"/>
      <c r="AQ14" s="287"/>
      <c r="AR14" s="299" t="str">
        <f>Service2!Z18</f>
        <v>+16°</v>
      </c>
      <c r="AS14" s="300"/>
      <c r="AT14" s="300"/>
      <c r="AU14" s="300"/>
      <c r="AV14" s="300"/>
      <c r="AW14" s="300"/>
      <c r="AX14" s="301"/>
      <c r="AY14" s="170"/>
      <c r="AZ14" s="170"/>
      <c r="BA14" s="170"/>
      <c r="BB14" s="170"/>
      <c r="BC14" s="170"/>
      <c r="BD14" s="167"/>
      <c r="BE14" s="167"/>
      <c r="BF14" s="167"/>
    </row>
    <row r="15" spans="1:58" ht="15.75" x14ac:dyDescent="0.25">
      <c r="A15" s="299" t="str">
        <f>Service1!D11</f>
        <v>Полтавка</v>
      </c>
      <c r="B15" s="300"/>
      <c r="C15" s="300"/>
      <c r="D15" s="300"/>
      <c r="E15" s="300"/>
      <c r="F15" s="300"/>
      <c r="G15" s="300"/>
      <c r="H15" s="300"/>
      <c r="I15" s="300"/>
      <c r="J15" s="300"/>
      <c r="K15" s="300"/>
      <c r="L15" s="301"/>
      <c r="M15" s="302" t="str">
        <f>Service2!AE19</f>
        <v xml:space="preserve"> Ясно</v>
      </c>
      <c r="N15" s="303"/>
      <c r="O15" s="303"/>
      <c r="P15" s="303"/>
      <c r="Q15" s="303"/>
      <c r="R15" s="303"/>
      <c r="S15" s="303"/>
      <c r="T15" s="303"/>
      <c r="U15" s="303"/>
      <c r="V15" s="303"/>
      <c r="W15" s="303"/>
      <c r="X15" s="303"/>
      <c r="Y15" s="303"/>
      <c r="Z15" s="303"/>
      <c r="AA15" s="303"/>
      <c r="AB15" s="304"/>
      <c r="AC15" s="285" t="str">
        <f>Service2!AF19</f>
        <v>Без осадков</v>
      </c>
      <c r="AD15" s="286"/>
      <c r="AE15" s="286"/>
      <c r="AF15" s="286"/>
      <c r="AG15" s="286"/>
      <c r="AH15" s="286"/>
      <c r="AI15" s="286"/>
      <c r="AJ15" s="286"/>
      <c r="AK15" s="286"/>
      <c r="AL15" s="286"/>
      <c r="AM15" s="286"/>
      <c r="AN15" s="286"/>
      <c r="AO15" s="286"/>
      <c r="AP15" s="286"/>
      <c r="AQ15" s="287"/>
      <c r="AR15" s="299" t="str">
        <f>Service2!Z19</f>
        <v>+18°</v>
      </c>
      <c r="AS15" s="300"/>
      <c r="AT15" s="300"/>
      <c r="AU15" s="300"/>
      <c r="AV15" s="300"/>
      <c r="AW15" s="300"/>
      <c r="AX15" s="301"/>
      <c r="AY15" s="170"/>
      <c r="AZ15" s="170"/>
      <c r="BA15" s="170"/>
      <c r="BB15" s="170"/>
      <c r="BC15" s="170"/>
      <c r="BD15" s="167"/>
      <c r="BE15" s="167"/>
      <c r="BF15" s="167"/>
    </row>
    <row r="16" spans="1:58" ht="15.75" x14ac:dyDescent="0.25">
      <c r="A16" s="299" t="str">
        <f>Service1!D12</f>
        <v>Русская Поляна</v>
      </c>
      <c r="B16" s="300"/>
      <c r="C16" s="300"/>
      <c r="D16" s="300"/>
      <c r="E16" s="300"/>
      <c r="F16" s="300"/>
      <c r="G16" s="300"/>
      <c r="H16" s="300"/>
      <c r="I16" s="300"/>
      <c r="J16" s="300"/>
      <c r="K16" s="300"/>
      <c r="L16" s="301"/>
      <c r="M16" s="302" t="str">
        <f>Service2!AE20</f>
        <v xml:space="preserve"> Ясно</v>
      </c>
      <c r="N16" s="303"/>
      <c r="O16" s="303"/>
      <c r="P16" s="303"/>
      <c r="Q16" s="303"/>
      <c r="R16" s="303"/>
      <c r="S16" s="303"/>
      <c r="T16" s="303"/>
      <c r="U16" s="303"/>
      <c r="V16" s="303"/>
      <c r="W16" s="303"/>
      <c r="X16" s="303"/>
      <c r="Y16" s="303"/>
      <c r="Z16" s="303"/>
      <c r="AA16" s="303"/>
      <c r="AB16" s="304"/>
      <c r="AC16" s="285" t="str">
        <f>Service2!AF20</f>
        <v>Без осадков</v>
      </c>
      <c r="AD16" s="286"/>
      <c r="AE16" s="286"/>
      <c r="AF16" s="286"/>
      <c r="AG16" s="286"/>
      <c r="AH16" s="286"/>
      <c r="AI16" s="286"/>
      <c r="AJ16" s="286"/>
      <c r="AK16" s="286"/>
      <c r="AL16" s="286"/>
      <c r="AM16" s="286"/>
      <c r="AN16" s="286"/>
      <c r="AO16" s="286"/>
      <c r="AP16" s="286"/>
      <c r="AQ16" s="287"/>
      <c r="AR16" s="299" t="str">
        <f>Service2!Z20</f>
        <v>+17°</v>
      </c>
      <c r="AS16" s="300"/>
      <c r="AT16" s="300"/>
      <c r="AU16" s="300"/>
      <c r="AV16" s="300"/>
      <c r="AW16" s="300"/>
      <c r="AX16" s="301"/>
      <c r="AY16" s="170"/>
      <c r="AZ16" s="170"/>
      <c r="BA16" s="170"/>
      <c r="BB16" s="170"/>
      <c r="BC16" s="170"/>
      <c r="BD16" s="167"/>
      <c r="BE16" s="167"/>
      <c r="BF16" s="167"/>
    </row>
    <row r="17" spans="1:58" ht="15.75" x14ac:dyDescent="0.25">
      <c r="A17" s="299" t="str">
        <f>Service1!D13</f>
        <v>Черлак</v>
      </c>
      <c r="B17" s="300"/>
      <c r="C17" s="300"/>
      <c r="D17" s="300"/>
      <c r="E17" s="300"/>
      <c r="F17" s="300"/>
      <c r="G17" s="300"/>
      <c r="H17" s="300"/>
      <c r="I17" s="300"/>
      <c r="J17" s="300"/>
      <c r="K17" s="300"/>
      <c r="L17" s="301"/>
      <c r="M17" s="302" t="str">
        <f>Service2!AE21</f>
        <v xml:space="preserve"> Ясно</v>
      </c>
      <c r="N17" s="303"/>
      <c r="O17" s="303"/>
      <c r="P17" s="303"/>
      <c r="Q17" s="303"/>
      <c r="R17" s="303"/>
      <c r="S17" s="303"/>
      <c r="T17" s="303"/>
      <c r="U17" s="303"/>
      <c r="V17" s="303"/>
      <c r="W17" s="303"/>
      <c r="X17" s="303"/>
      <c r="Y17" s="303"/>
      <c r="Z17" s="303"/>
      <c r="AA17" s="303"/>
      <c r="AB17" s="304"/>
      <c r="AC17" s="285" t="str">
        <f>Service2!AF21</f>
        <v>Без осадков</v>
      </c>
      <c r="AD17" s="286"/>
      <c r="AE17" s="286"/>
      <c r="AF17" s="286"/>
      <c r="AG17" s="286"/>
      <c r="AH17" s="286"/>
      <c r="AI17" s="286"/>
      <c r="AJ17" s="286"/>
      <c r="AK17" s="286"/>
      <c r="AL17" s="286"/>
      <c r="AM17" s="286"/>
      <c r="AN17" s="286"/>
      <c r="AO17" s="286"/>
      <c r="AP17" s="286"/>
      <c r="AQ17" s="287"/>
      <c r="AR17" s="299" t="str">
        <f>Service2!Z21</f>
        <v>+17°</v>
      </c>
      <c r="AS17" s="300"/>
      <c r="AT17" s="300"/>
      <c r="AU17" s="300"/>
      <c r="AV17" s="300"/>
      <c r="AW17" s="300"/>
      <c r="AX17" s="301"/>
      <c r="AY17" s="170"/>
      <c r="AZ17" s="170"/>
      <c r="BA17" s="170"/>
      <c r="BB17" s="170"/>
      <c r="BC17" s="170"/>
      <c r="BD17" s="167"/>
      <c r="BE17" s="167"/>
      <c r="BF17" s="167"/>
    </row>
    <row r="18" spans="1:58" ht="15.75" x14ac:dyDescent="0.25">
      <c r="A18" s="299" t="str">
        <f>Service1!D14</f>
        <v>Одесское</v>
      </c>
      <c r="B18" s="300"/>
      <c r="C18" s="300"/>
      <c r="D18" s="300"/>
      <c r="E18" s="300"/>
      <c r="F18" s="300"/>
      <c r="G18" s="300"/>
      <c r="H18" s="300"/>
      <c r="I18" s="300"/>
      <c r="J18" s="300"/>
      <c r="K18" s="300"/>
      <c r="L18" s="301"/>
      <c r="M18" s="302" t="str">
        <f>Service2!AE22</f>
        <v xml:space="preserve"> Ясно</v>
      </c>
      <c r="N18" s="303"/>
      <c r="O18" s="303"/>
      <c r="P18" s="303"/>
      <c r="Q18" s="303"/>
      <c r="R18" s="303"/>
      <c r="S18" s="303"/>
      <c r="T18" s="303"/>
      <c r="U18" s="303"/>
      <c r="V18" s="303"/>
      <c r="W18" s="303"/>
      <c r="X18" s="303"/>
      <c r="Y18" s="303"/>
      <c r="Z18" s="303"/>
      <c r="AA18" s="303"/>
      <c r="AB18" s="304"/>
      <c r="AC18" s="285" t="str">
        <f>Service2!AF22</f>
        <v>Без осадков</v>
      </c>
      <c r="AD18" s="286"/>
      <c r="AE18" s="286"/>
      <c r="AF18" s="286"/>
      <c r="AG18" s="286"/>
      <c r="AH18" s="286"/>
      <c r="AI18" s="286"/>
      <c r="AJ18" s="286"/>
      <c r="AK18" s="286"/>
      <c r="AL18" s="286"/>
      <c r="AM18" s="286"/>
      <c r="AN18" s="286"/>
      <c r="AO18" s="286"/>
      <c r="AP18" s="286"/>
      <c r="AQ18" s="287"/>
      <c r="AR18" s="299" t="str">
        <f>Service2!Z22</f>
        <v>+17°</v>
      </c>
      <c r="AS18" s="300"/>
      <c r="AT18" s="300"/>
      <c r="AU18" s="300"/>
      <c r="AV18" s="300"/>
      <c r="AW18" s="300"/>
      <c r="AX18" s="301"/>
      <c r="AY18" s="170"/>
      <c r="AZ18" s="170"/>
      <c r="BA18" s="170"/>
      <c r="BB18" s="170"/>
      <c r="BC18" s="170"/>
      <c r="BD18" s="167"/>
      <c r="BE18" s="167"/>
      <c r="BF18" s="167"/>
    </row>
    <row r="19" spans="1:58" ht="15.75" x14ac:dyDescent="0.25">
      <c r="A19" s="299" t="str">
        <f>Service1!D15</f>
        <v>Павлоградка</v>
      </c>
      <c r="B19" s="300"/>
      <c r="C19" s="300"/>
      <c r="D19" s="300"/>
      <c r="E19" s="300"/>
      <c r="F19" s="300"/>
      <c r="G19" s="300"/>
      <c r="H19" s="300"/>
      <c r="I19" s="300"/>
      <c r="J19" s="300"/>
      <c r="K19" s="300"/>
      <c r="L19" s="301"/>
      <c r="M19" s="302" t="str">
        <f>Service2!AE23</f>
        <v xml:space="preserve"> Ясно</v>
      </c>
      <c r="N19" s="303"/>
      <c r="O19" s="303"/>
      <c r="P19" s="303"/>
      <c r="Q19" s="303"/>
      <c r="R19" s="303"/>
      <c r="S19" s="303"/>
      <c r="T19" s="303"/>
      <c r="U19" s="303"/>
      <c r="V19" s="303"/>
      <c r="W19" s="303"/>
      <c r="X19" s="303"/>
      <c r="Y19" s="303"/>
      <c r="Z19" s="303"/>
      <c r="AA19" s="303"/>
      <c r="AB19" s="304"/>
      <c r="AC19" s="285" t="str">
        <f>Service2!AF23</f>
        <v>Без осадков</v>
      </c>
      <c r="AD19" s="286"/>
      <c r="AE19" s="286"/>
      <c r="AF19" s="286"/>
      <c r="AG19" s="286"/>
      <c r="AH19" s="286"/>
      <c r="AI19" s="286"/>
      <c r="AJ19" s="286"/>
      <c r="AK19" s="286"/>
      <c r="AL19" s="286"/>
      <c r="AM19" s="286"/>
      <c r="AN19" s="286"/>
      <c r="AO19" s="286"/>
      <c r="AP19" s="286"/>
      <c r="AQ19" s="287"/>
      <c r="AR19" s="299" t="str">
        <f>Service2!Z23</f>
        <v>+17°</v>
      </c>
      <c r="AS19" s="300"/>
      <c r="AT19" s="300"/>
      <c r="AU19" s="300"/>
      <c r="AV19" s="300"/>
      <c r="AW19" s="300"/>
      <c r="AX19" s="301"/>
      <c r="AY19" s="170"/>
      <c r="AZ19" s="170"/>
      <c r="BA19" s="170"/>
      <c r="BB19" s="170"/>
      <c r="BC19" s="170"/>
      <c r="BD19" s="167"/>
      <c r="BE19" s="167"/>
      <c r="BF19" s="167"/>
    </row>
    <row r="20" spans="1:58" ht="15.75" x14ac:dyDescent="0.25">
      <c r="A20" s="168"/>
      <c r="B20" s="168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305"/>
      <c r="R20" s="305"/>
      <c r="S20" s="305"/>
      <c r="T20" s="305"/>
      <c r="U20" s="305"/>
      <c r="V20" s="305"/>
      <c r="W20" s="305"/>
      <c r="X20" s="305"/>
      <c r="Y20" s="305"/>
      <c r="Z20" s="305"/>
      <c r="AA20" s="305"/>
      <c r="AB20" s="305"/>
      <c r="AC20" s="305"/>
      <c r="AD20" s="305"/>
      <c r="AE20" s="305"/>
      <c r="AF20" s="173"/>
      <c r="AG20" s="168"/>
      <c r="AH20" s="168"/>
      <c r="AI20" s="168"/>
      <c r="AJ20" s="168"/>
      <c r="AK20" s="168"/>
      <c r="AL20" s="168"/>
      <c r="AM20" s="168"/>
      <c r="AN20" s="168"/>
      <c r="AO20" s="168"/>
      <c r="AP20" s="168"/>
      <c r="AQ20" s="168"/>
      <c r="AR20" s="168"/>
      <c r="AS20" s="168"/>
      <c r="AT20" s="168"/>
      <c r="AU20" s="168"/>
      <c r="AV20" s="168"/>
      <c r="AW20" s="168"/>
      <c r="AX20" s="168"/>
      <c r="AY20" s="169"/>
      <c r="AZ20" s="169"/>
      <c r="BA20" s="169"/>
      <c r="BB20" s="169"/>
      <c r="BC20" s="169"/>
      <c r="BD20" s="167"/>
      <c r="BE20" s="167"/>
      <c r="BF20" s="167"/>
    </row>
    <row r="21" spans="1:58" ht="15.75" x14ac:dyDescent="0.25">
      <c r="A21" s="299" t="str">
        <f>Service1!C6</f>
        <v>Омск</v>
      </c>
      <c r="B21" s="300"/>
      <c r="C21" s="300"/>
      <c r="D21" s="300"/>
      <c r="E21" s="300"/>
      <c r="F21" s="300"/>
      <c r="G21" s="300"/>
      <c r="H21" s="300"/>
      <c r="I21" s="300"/>
      <c r="J21" s="300"/>
      <c r="K21" s="300"/>
      <c r="L21" s="301"/>
      <c r="M21" s="285" t="str">
        <f>Service2!AE9</f>
        <v xml:space="preserve"> Ясно</v>
      </c>
      <c r="N21" s="286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6"/>
      <c r="AB21" s="287"/>
      <c r="AC21" s="306" t="str">
        <f>Service2!AF9</f>
        <v>Без осадков</v>
      </c>
      <c r="AD21" s="307"/>
      <c r="AE21" s="307"/>
      <c r="AF21" s="307"/>
      <c r="AG21" s="307"/>
      <c r="AH21" s="307"/>
      <c r="AI21" s="307"/>
      <c r="AJ21" s="307"/>
      <c r="AK21" s="307"/>
      <c r="AL21" s="307"/>
      <c r="AM21" s="307"/>
      <c r="AN21" s="307"/>
      <c r="AO21" s="307"/>
      <c r="AP21" s="307"/>
      <c r="AQ21" s="308"/>
      <c r="AR21" s="299" t="str">
        <f>Service2!Z9</f>
        <v>+16°</v>
      </c>
      <c r="AS21" s="300"/>
      <c r="AT21" s="300"/>
      <c r="AU21" s="300"/>
      <c r="AV21" s="300"/>
      <c r="AW21" s="300"/>
      <c r="AX21" s="301"/>
      <c r="AY21" s="170"/>
      <c r="AZ21" s="170"/>
      <c r="BA21" s="170"/>
      <c r="BB21" s="170"/>
      <c r="BC21" s="170"/>
      <c r="BD21" s="167"/>
      <c r="BE21" s="167"/>
      <c r="BF21" s="167"/>
    </row>
    <row r="22" spans="1:58" s="174" customFormat="1" ht="18.75" x14ac:dyDescent="0.3">
      <c r="A22" s="168"/>
      <c r="B22" s="168"/>
      <c r="C22" s="168"/>
      <c r="D22" s="168"/>
      <c r="E22" s="168"/>
      <c r="F22" s="168"/>
      <c r="G22" s="168"/>
      <c r="H22" s="168"/>
      <c r="I22" s="168"/>
      <c r="J22" s="168"/>
      <c r="K22" s="168"/>
      <c r="L22" s="168"/>
      <c r="M22" s="294" t="s">
        <v>39</v>
      </c>
      <c r="N22" s="295"/>
      <c r="O22" s="295"/>
      <c r="P22" s="295"/>
      <c r="Q22" s="295"/>
      <c r="R22" s="286" t="str">
        <f>LOWER(Service2!Y6)</f>
        <v>южный</v>
      </c>
      <c r="S22" s="286"/>
      <c r="T22" s="286"/>
      <c r="U22" s="286"/>
      <c r="V22" s="286"/>
      <c r="W22" s="286"/>
      <c r="X22" s="286"/>
      <c r="Y22" s="286"/>
      <c r="Z22" s="286"/>
      <c r="AA22" s="286"/>
      <c r="AB22" s="286"/>
      <c r="AC22" s="296"/>
      <c r="AD22" s="297"/>
      <c r="AE22" s="298" t="str">
        <f>Service2!AA6</f>
        <v>2 м/с</v>
      </c>
      <c r="AF22" s="298"/>
      <c r="AG22" s="298"/>
      <c r="AH22" s="298"/>
      <c r="AI22" s="298"/>
      <c r="AJ22" s="298"/>
      <c r="AK22" s="298"/>
      <c r="AL22" s="298"/>
      <c r="AM22" s="298"/>
      <c r="AP22" s="168"/>
      <c r="AQ22" s="168"/>
      <c r="AR22" s="168"/>
      <c r="AS22" s="168"/>
      <c r="AT22" s="168"/>
      <c r="AU22" s="168"/>
      <c r="AV22" s="168"/>
      <c r="AW22" s="168"/>
      <c r="AX22" s="168"/>
      <c r="AY22" s="169"/>
      <c r="AZ22" s="169"/>
      <c r="BA22" s="169"/>
      <c r="BB22" s="169"/>
      <c r="BC22" s="169"/>
      <c r="BD22" s="175"/>
      <c r="BE22" s="175"/>
      <c r="BF22" s="175"/>
    </row>
    <row r="23" spans="1:58" x14ac:dyDescent="0.25">
      <c r="A23" s="176"/>
      <c r="B23" s="176"/>
      <c r="C23" s="176"/>
      <c r="D23" s="176"/>
      <c r="E23" s="176"/>
      <c r="F23" s="176"/>
      <c r="G23" s="176"/>
      <c r="H23" s="176"/>
      <c r="I23" s="176"/>
      <c r="J23" s="176"/>
      <c r="K23" s="176"/>
      <c r="L23" s="176"/>
      <c r="M23" s="176"/>
      <c r="N23" s="176"/>
      <c r="O23" s="176"/>
      <c r="P23" s="176"/>
      <c r="Q23" s="176"/>
      <c r="R23" s="176"/>
      <c r="S23" s="176"/>
      <c r="T23" s="176"/>
      <c r="U23" s="176"/>
      <c r="V23" s="176"/>
      <c r="W23" s="176"/>
      <c r="X23" s="176"/>
      <c r="Y23" s="176"/>
      <c r="Z23" s="176"/>
      <c r="AA23" s="176"/>
      <c r="AB23" s="176"/>
      <c r="AC23" s="176"/>
      <c r="AD23" s="176"/>
      <c r="AE23" s="176"/>
      <c r="AF23" s="176"/>
      <c r="AG23" s="176"/>
      <c r="AH23" s="176"/>
      <c r="AI23" s="176"/>
      <c r="AJ23" s="176"/>
      <c r="AK23" s="176"/>
      <c r="AL23" s="176"/>
      <c r="AM23" s="176"/>
      <c r="AN23" s="176"/>
      <c r="AO23" s="176"/>
      <c r="AP23" s="176"/>
      <c r="AQ23" s="176"/>
      <c r="AR23" s="176"/>
      <c r="AS23" s="176"/>
      <c r="AT23" s="176"/>
      <c r="AU23" s="176"/>
      <c r="AV23" s="176"/>
      <c r="AW23" s="176"/>
      <c r="AX23" s="176"/>
      <c r="AY23" s="177"/>
      <c r="AZ23" s="177"/>
      <c r="BA23" s="177"/>
      <c r="BB23" s="177"/>
      <c r="BC23" s="177"/>
      <c r="BD23" s="167"/>
      <c r="BE23" s="167"/>
      <c r="BF23" s="167"/>
    </row>
    <row r="24" spans="1:58" x14ac:dyDescent="0.25">
      <c r="A24" s="176"/>
      <c r="B24" s="176"/>
      <c r="C24" s="176"/>
      <c r="D24" s="176"/>
      <c r="E24" s="176"/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76"/>
      <c r="AH24" s="176"/>
      <c r="AI24" s="176"/>
      <c r="AJ24" s="176"/>
      <c r="AK24" s="176"/>
      <c r="AL24" s="176"/>
      <c r="AM24" s="176"/>
      <c r="AN24" s="176"/>
      <c r="AO24" s="176"/>
      <c r="AP24" s="176"/>
      <c r="AQ24" s="176"/>
      <c r="AR24" s="176"/>
      <c r="AS24" s="176"/>
      <c r="AT24" s="176"/>
      <c r="AU24" s="176"/>
      <c r="AV24" s="176"/>
      <c r="AW24" s="176"/>
      <c r="AX24" s="176"/>
      <c r="AY24" s="176"/>
      <c r="AZ24" s="176"/>
      <c r="BA24" s="176"/>
      <c r="BB24" s="176"/>
      <c r="BC24" s="176"/>
    </row>
    <row r="25" spans="1:58" x14ac:dyDescent="0.25">
      <c r="A25" s="176"/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/>
      <c r="N25" s="176"/>
      <c r="T25" s="176"/>
      <c r="U25" s="176"/>
      <c r="V25" s="176"/>
      <c r="W25" s="176"/>
      <c r="X25" s="176"/>
      <c r="Y25" s="176"/>
      <c r="Z25" s="176"/>
      <c r="AA25" s="176"/>
      <c r="AB25" s="176"/>
      <c r="AC25" s="176"/>
      <c r="AD25" s="176"/>
      <c r="AE25" s="176"/>
      <c r="AF25" s="176"/>
      <c r="AG25" s="176"/>
      <c r="AH25" s="176"/>
      <c r="AI25" s="176"/>
      <c r="AJ25" s="176"/>
      <c r="AK25" s="176"/>
      <c r="AL25" s="176"/>
      <c r="AM25" s="176"/>
      <c r="AN25" s="176"/>
      <c r="AO25" s="176"/>
      <c r="AP25" s="176"/>
      <c r="AQ25" s="176"/>
      <c r="AR25" s="176"/>
      <c r="AS25" s="176"/>
      <c r="AT25" s="176"/>
      <c r="AU25" s="176"/>
      <c r="AV25" s="176"/>
      <c r="AW25" s="176"/>
      <c r="AX25" s="176"/>
      <c r="AY25" s="176"/>
      <c r="AZ25" s="176"/>
      <c r="BA25" s="176"/>
      <c r="BB25" s="176"/>
      <c r="BC25" s="176"/>
    </row>
    <row r="26" spans="1:58" x14ac:dyDescent="0.25">
      <c r="A26" s="176"/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  <c r="AF26" s="176"/>
      <c r="AG26" s="176"/>
      <c r="AH26" s="176"/>
      <c r="AI26" s="176"/>
      <c r="AJ26" s="176"/>
      <c r="AK26" s="176"/>
      <c r="AL26" s="176"/>
      <c r="AM26" s="176"/>
      <c r="AN26" s="176"/>
      <c r="AO26" s="176"/>
      <c r="AP26" s="176"/>
      <c r="AQ26" s="176"/>
      <c r="AR26" s="176"/>
      <c r="AS26" s="176"/>
      <c r="AT26" s="176"/>
      <c r="AU26" s="176"/>
      <c r="AV26" s="176"/>
      <c r="AW26" s="176"/>
      <c r="AX26" s="176"/>
      <c r="AY26" s="176"/>
      <c r="AZ26" s="176"/>
      <c r="BA26" s="176"/>
      <c r="BB26" s="176"/>
      <c r="BC26" s="176"/>
    </row>
    <row r="27" spans="1:58" x14ac:dyDescent="0.25">
      <c r="A27" s="176"/>
      <c r="B27" s="176"/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176"/>
      <c r="Z27" s="176"/>
      <c r="AA27" s="176"/>
      <c r="AB27" s="176"/>
      <c r="AC27" s="176"/>
      <c r="AD27" s="176"/>
      <c r="AE27" s="176"/>
      <c r="AF27" s="176"/>
      <c r="AG27" s="176"/>
      <c r="AH27" s="176"/>
      <c r="AI27" s="176"/>
      <c r="AJ27" s="176"/>
      <c r="AK27" s="176"/>
      <c r="AL27" s="176"/>
      <c r="AM27" s="176"/>
      <c r="AN27" s="176"/>
      <c r="AO27" s="176"/>
      <c r="AP27" s="176"/>
      <c r="AQ27" s="176"/>
      <c r="AR27" s="176"/>
      <c r="AS27" s="176"/>
      <c r="AT27" s="176"/>
      <c r="AU27" s="176"/>
      <c r="AV27" s="176"/>
      <c r="AW27" s="176"/>
      <c r="AX27" s="176"/>
      <c r="AY27" s="176"/>
      <c r="AZ27" s="176"/>
      <c r="BA27" s="176"/>
      <c r="BB27" s="176"/>
      <c r="BC27" s="176"/>
    </row>
    <row r="28" spans="1:58" x14ac:dyDescent="0.25">
      <c r="A28" s="176"/>
      <c r="B28" s="176"/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AE28" s="176"/>
      <c r="AF28" s="176"/>
      <c r="AG28" s="176"/>
      <c r="AH28" s="176"/>
      <c r="AI28" s="176"/>
      <c r="AJ28" s="176"/>
      <c r="AK28" s="176"/>
      <c r="AL28" s="176"/>
      <c r="AM28" s="176"/>
      <c r="AN28" s="176"/>
      <c r="AO28" s="176"/>
      <c r="AP28" s="176"/>
      <c r="AQ28" s="176"/>
      <c r="AR28" s="176"/>
      <c r="AS28" s="176"/>
      <c r="AT28" s="176"/>
      <c r="AU28" s="176"/>
      <c r="AV28" s="176"/>
      <c r="AW28" s="176"/>
      <c r="AX28" s="176"/>
      <c r="AY28" s="176"/>
      <c r="AZ28" s="176"/>
      <c r="BA28" s="176"/>
      <c r="BB28" s="176"/>
      <c r="BC28" s="176"/>
    </row>
  </sheetData>
  <sheetProtection password="C71F" sheet="1" objects="1" scenarios="1" selectLockedCells="1" selectUnlockedCells="1"/>
  <mergeCells count="69">
    <mergeCell ref="A1:AX1"/>
    <mergeCell ref="A3:Q3"/>
    <mergeCell ref="R3:AH3"/>
    <mergeCell ref="AI3:AX3"/>
    <mergeCell ref="A5:L5"/>
    <mergeCell ref="M5:AB5"/>
    <mergeCell ref="AC5:AQ5"/>
    <mergeCell ref="AR5:AX5"/>
    <mergeCell ref="A6:L6"/>
    <mergeCell ref="M6:AB6"/>
    <mergeCell ref="AC6:AQ6"/>
    <mergeCell ref="AR6:AX6"/>
    <mergeCell ref="A7:L7"/>
    <mergeCell ref="M7:AB7"/>
    <mergeCell ref="AC7:AQ7"/>
    <mergeCell ref="AR7:AX7"/>
    <mergeCell ref="AR8:AX8"/>
    <mergeCell ref="A9:L9"/>
    <mergeCell ref="M9:AB9"/>
    <mergeCell ref="AC9:AQ9"/>
    <mergeCell ref="AR9:AX9"/>
    <mergeCell ref="A12:P12"/>
    <mergeCell ref="A13:L13"/>
    <mergeCell ref="M13:AB13"/>
    <mergeCell ref="AC13:AQ13"/>
    <mergeCell ref="A8:L8"/>
    <mergeCell ref="M8:AB8"/>
    <mergeCell ref="AC8:AQ8"/>
    <mergeCell ref="A10:L10"/>
    <mergeCell ref="M10:AB10"/>
    <mergeCell ref="AC10:AQ10"/>
    <mergeCell ref="AR10:AX10"/>
    <mergeCell ref="A11:L11"/>
    <mergeCell ref="M11:AB11"/>
    <mergeCell ref="AC11:AQ11"/>
    <mergeCell ref="AR11:AX11"/>
    <mergeCell ref="AR13:AX13"/>
    <mergeCell ref="A15:L15"/>
    <mergeCell ref="M15:AB15"/>
    <mergeCell ref="AC15:AQ15"/>
    <mergeCell ref="AR15:AX15"/>
    <mergeCell ref="A14:L14"/>
    <mergeCell ref="M14:AB14"/>
    <mergeCell ref="AC14:AQ14"/>
    <mergeCell ref="AR14:AX14"/>
    <mergeCell ref="A16:L16"/>
    <mergeCell ref="M16:AB16"/>
    <mergeCell ref="AC16:AQ16"/>
    <mergeCell ref="AR16:AX16"/>
    <mergeCell ref="A17:L17"/>
    <mergeCell ref="M17:AB17"/>
    <mergeCell ref="AC17:AQ17"/>
    <mergeCell ref="AR17:AX17"/>
    <mergeCell ref="AR21:AX21"/>
    <mergeCell ref="A18:L18"/>
    <mergeCell ref="M18:AB18"/>
    <mergeCell ref="AC18:AQ18"/>
    <mergeCell ref="AR18:AX18"/>
    <mergeCell ref="AR19:AX19"/>
    <mergeCell ref="M22:Q22"/>
    <mergeCell ref="R22:AD22"/>
    <mergeCell ref="AE22:AM22"/>
    <mergeCell ref="A19:L19"/>
    <mergeCell ref="M19:AB19"/>
    <mergeCell ref="AC19:AQ19"/>
    <mergeCell ref="Q20:AE20"/>
    <mergeCell ref="A21:L21"/>
    <mergeCell ref="M21:AB21"/>
    <mergeCell ref="AC21:AQ2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U23"/>
  <sheetViews>
    <sheetView workbookViewId="0">
      <selection activeCell="A2" sqref="A2"/>
    </sheetView>
  </sheetViews>
  <sheetFormatPr defaultColWidth="1.7109375" defaultRowHeight="15" x14ac:dyDescent="0.25"/>
  <cols>
    <col min="1" max="16" width="1.7109375" style="179"/>
    <col min="17" max="17" width="15.7109375" style="179" customWidth="1"/>
    <col min="18" max="18" width="35.7109375" style="179" customWidth="1"/>
    <col min="19" max="16384" width="1.7109375" style="179"/>
  </cols>
  <sheetData>
    <row r="1" spans="1:47" ht="18" x14ac:dyDescent="0.25">
      <c r="A1" s="318" t="s">
        <v>206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</row>
    <row r="2" spans="1:47" ht="10.5" customHeight="1" x14ac:dyDescent="0.25"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</row>
    <row r="3" spans="1:47" ht="18.75" x14ac:dyDescent="0.25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228" t="str">
        <f>CONCATENATE(Service2!C13,":")</f>
        <v>4 октября:</v>
      </c>
      <c r="S3" s="226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0"/>
      <c r="AR3" s="180"/>
      <c r="AS3" s="180"/>
      <c r="AT3" s="180"/>
      <c r="AU3" s="180"/>
    </row>
    <row r="4" spans="1:47" ht="18.75" x14ac:dyDescent="0.25">
      <c r="A4" s="315" t="str">
        <f>Service1!C6</f>
        <v>Омск</v>
      </c>
      <c r="B4" s="316"/>
      <c r="C4" s="316"/>
      <c r="D4" s="316"/>
      <c r="E4" s="316"/>
      <c r="F4" s="316"/>
      <c r="G4" s="316"/>
      <c r="H4" s="316"/>
      <c r="I4" s="316"/>
      <c r="J4" s="316"/>
      <c r="K4" s="316"/>
      <c r="L4" s="316"/>
      <c r="M4" s="316"/>
      <c r="N4" s="316"/>
      <c r="O4" s="316"/>
      <c r="P4" s="317"/>
      <c r="Q4" s="224" t="str">
        <f>Service2!H9</f>
        <v>+16°</v>
      </c>
      <c r="R4" s="229" t="str">
        <f>Service2!N9</f>
        <v>Без осадков</v>
      </c>
      <c r="S4" s="182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</row>
    <row r="5" spans="1:47" ht="18.75" x14ac:dyDescent="0.25">
      <c r="A5" s="315" t="str">
        <f>Service1!C9</f>
        <v>Усть-Ишим</v>
      </c>
      <c r="B5" s="316"/>
      <c r="C5" s="316"/>
      <c r="D5" s="316"/>
      <c r="E5" s="316"/>
      <c r="F5" s="316"/>
      <c r="G5" s="316"/>
      <c r="H5" s="316"/>
      <c r="I5" s="316"/>
      <c r="J5" s="316"/>
      <c r="K5" s="316"/>
      <c r="L5" s="316"/>
      <c r="M5" s="316"/>
      <c r="N5" s="316"/>
      <c r="O5" s="316"/>
      <c r="P5" s="317"/>
      <c r="Q5" s="224" t="str">
        <f>Service2!H10</f>
        <v>+14°</v>
      </c>
      <c r="R5" s="229" t="str">
        <f>Service2!N10</f>
        <v>Без осадков</v>
      </c>
      <c r="S5" s="182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</row>
    <row r="6" spans="1:47" ht="18.75" x14ac:dyDescent="0.25">
      <c r="A6" s="315" t="str">
        <f>Service1!C10</f>
        <v>Тара</v>
      </c>
      <c r="B6" s="316"/>
      <c r="C6" s="316"/>
      <c r="D6" s="316"/>
      <c r="E6" s="316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7"/>
      <c r="Q6" s="224" t="str">
        <f>Service2!H11</f>
        <v>+15°</v>
      </c>
      <c r="R6" s="229" t="str">
        <f>Service2!N11</f>
        <v>Без осадков</v>
      </c>
      <c r="S6" s="182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</row>
    <row r="7" spans="1:47" ht="18.75" x14ac:dyDescent="0.25">
      <c r="A7" s="315" t="str">
        <f>Service1!C11</f>
        <v>Тюкалинск</v>
      </c>
      <c r="B7" s="316"/>
      <c r="C7" s="316"/>
      <c r="D7" s="316"/>
      <c r="E7" s="316"/>
      <c r="F7" s="316"/>
      <c r="G7" s="316"/>
      <c r="H7" s="316"/>
      <c r="I7" s="316"/>
      <c r="J7" s="316"/>
      <c r="K7" s="316"/>
      <c r="L7" s="316"/>
      <c r="M7" s="316"/>
      <c r="N7" s="316"/>
      <c r="O7" s="316"/>
      <c r="P7" s="317"/>
      <c r="Q7" s="223" t="str">
        <f>Service2!H12</f>
        <v>+15°</v>
      </c>
      <c r="R7" s="229" t="str">
        <f>Service2!N12</f>
        <v>Без осадков</v>
      </c>
      <c r="S7" s="182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</row>
    <row r="8" spans="1:47" ht="18.75" x14ac:dyDescent="0.25">
      <c r="A8" s="315" t="str">
        <f>Service1!C12</f>
        <v>Большеречье</v>
      </c>
      <c r="B8" s="316"/>
      <c r="C8" s="316"/>
      <c r="D8" s="316"/>
      <c r="E8" s="316"/>
      <c r="F8" s="316"/>
      <c r="G8" s="316"/>
      <c r="H8" s="316"/>
      <c r="I8" s="316"/>
      <c r="J8" s="316"/>
      <c r="K8" s="316"/>
      <c r="L8" s="316"/>
      <c r="M8" s="316"/>
      <c r="N8" s="316"/>
      <c r="O8" s="316"/>
      <c r="P8" s="317"/>
      <c r="Q8" s="224" t="str">
        <f>Service2!H13</f>
        <v>+16°</v>
      </c>
      <c r="R8" s="229" t="str">
        <f>Service2!N13</f>
        <v>Без осадков</v>
      </c>
      <c r="S8" s="182"/>
      <c r="T8" s="160"/>
      <c r="U8" s="160"/>
      <c r="V8" s="160"/>
      <c r="W8" s="160"/>
      <c r="X8" s="160"/>
      <c r="Y8" s="160"/>
      <c r="Z8" s="160"/>
      <c r="AA8" s="160"/>
      <c r="AB8" s="160"/>
      <c r="AC8" s="160"/>
      <c r="AD8" s="160"/>
      <c r="AE8" s="160"/>
      <c r="AF8" s="160"/>
      <c r="AG8" s="160"/>
      <c r="AH8" s="160"/>
      <c r="AI8" s="160"/>
      <c r="AJ8" s="160"/>
      <c r="AK8" s="160"/>
      <c r="AL8" s="160"/>
      <c r="AM8" s="160"/>
      <c r="AN8" s="160"/>
      <c r="AO8" s="160"/>
      <c r="AP8" s="160"/>
      <c r="AQ8" s="160"/>
      <c r="AR8" s="160"/>
      <c r="AS8" s="160"/>
      <c r="AT8" s="160"/>
      <c r="AU8" s="160"/>
    </row>
    <row r="9" spans="1:47" ht="18.75" x14ac:dyDescent="0.25">
      <c r="A9" s="315" t="str">
        <f>Service1!C13</f>
        <v>Называевск</v>
      </c>
      <c r="B9" s="316"/>
      <c r="C9" s="316"/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7"/>
      <c r="Q9" s="224" t="str">
        <f>Service2!H14</f>
        <v>+16°</v>
      </c>
      <c r="R9" s="229" t="str">
        <f>Service2!N14</f>
        <v>Без осадков</v>
      </c>
      <c r="S9" s="182"/>
      <c r="T9" s="160"/>
      <c r="U9" s="160"/>
      <c r="V9" s="160"/>
      <c r="W9" s="160"/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</row>
    <row r="10" spans="1:47" ht="18.75" x14ac:dyDescent="0.25">
      <c r="A10" s="315" t="str">
        <f>Service1!C14</f>
        <v>Тевриз</v>
      </c>
      <c r="B10" s="316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7"/>
      <c r="Q10" s="224" t="str">
        <f>Service2!H15</f>
        <v>+14°</v>
      </c>
      <c r="R10" s="229" t="str">
        <f>Service2!N15</f>
        <v>Без осадков</v>
      </c>
      <c r="S10" s="182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/>
      <c r="AJ10" s="160"/>
      <c r="AK10" s="160"/>
      <c r="AL10" s="160"/>
      <c r="AM10" s="160"/>
      <c r="AN10" s="160"/>
      <c r="AO10" s="160"/>
      <c r="AP10" s="160"/>
      <c r="AQ10" s="160"/>
      <c r="AR10" s="160"/>
      <c r="AS10" s="160"/>
      <c r="AT10" s="160"/>
      <c r="AU10" s="160"/>
    </row>
    <row r="11" spans="1:47" ht="18.75" x14ac:dyDescent="0.25">
      <c r="A11" s="315" t="str">
        <f>Service1!C15</f>
        <v>Саргатское</v>
      </c>
      <c r="B11" s="316"/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7"/>
      <c r="Q11" s="224" t="str">
        <f>Service2!H16</f>
        <v>+16°</v>
      </c>
      <c r="R11" s="229" t="str">
        <f>Service2!N16</f>
        <v>Без осадков</v>
      </c>
      <c r="S11" s="227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25"/>
      <c r="AI11" s="225"/>
      <c r="AJ11" s="225"/>
      <c r="AK11" s="225"/>
      <c r="AL11" s="225"/>
      <c r="AM11" s="225"/>
      <c r="AN11" s="225"/>
      <c r="AO11" s="225"/>
      <c r="AP11" s="225"/>
      <c r="AQ11" s="160"/>
      <c r="AR11" s="160"/>
      <c r="AS11" s="160"/>
      <c r="AT11" s="160"/>
      <c r="AU11" s="160"/>
    </row>
    <row r="12" spans="1:47" ht="18.75" x14ac:dyDescent="0.25">
      <c r="A12" s="315" t="str">
        <f>Service1!D9</f>
        <v>Исилькуль</v>
      </c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  <c r="P12" s="317"/>
      <c r="Q12" s="224" t="str">
        <f>Service2!H17</f>
        <v>+16°</v>
      </c>
      <c r="R12" s="229" t="str">
        <f>Service2!N17</f>
        <v>Без осадков</v>
      </c>
      <c r="S12" s="182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</row>
    <row r="13" spans="1:47" ht="18.75" x14ac:dyDescent="0.25">
      <c r="A13" s="315" t="str">
        <f>Service1!D10</f>
        <v>Калачинск</v>
      </c>
      <c r="B13" s="316"/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  <c r="P13" s="317"/>
      <c r="Q13" s="224" t="str">
        <f>Service2!H18</f>
        <v>+16°</v>
      </c>
      <c r="R13" s="229" t="str">
        <f>Service2!N18</f>
        <v>Без осадков</v>
      </c>
      <c r="S13" s="182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160"/>
      <c r="AL13" s="160"/>
      <c r="AM13" s="160"/>
      <c r="AN13" s="160"/>
      <c r="AO13" s="160"/>
      <c r="AP13" s="160"/>
      <c r="AQ13" s="160"/>
      <c r="AR13" s="160"/>
      <c r="AS13" s="160"/>
      <c r="AT13" s="160"/>
      <c r="AU13" s="160"/>
    </row>
    <row r="14" spans="1:47" ht="18.75" x14ac:dyDescent="0.25">
      <c r="A14" s="315" t="str">
        <f>Service1!D11</f>
        <v>Полтавка</v>
      </c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P14" s="317"/>
      <c r="Q14" s="224" t="str">
        <f>Service2!H19</f>
        <v>+16°</v>
      </c>
      <c r="R14" s="229" t="str">
        <f>Service2!N19</f>
        <v>Без осадков</v>
      </c>
      <c r="S14" s="182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160"/>
      <c r="AL14" s="160"/>
      <c r="AM14" s="160"/>
      <c r="AN14" s="160"/>
      <c r="AO14" s="160"/>
      <c r="AP14" s="160"/>
      <c r="AQ14" s="160"/>
      <c r="AR14" s="160"/>
      <c r="AS14" s="160"/>
      <c r="AT14" s="160"/>
      <c r="AU14" s="160"/>
    </row>
    <row r="15" spans="1:47" ht="18.75" x14ac:dyDescent="0.25">
      <c r="A15" s="315" t="str">
        <f>Service1!D12</f>
        <v>Русская Поляна</v>
      </c>
      <c r="B15" s="316"/>
      <c r="C15" s="316"/>
      <c r="D15" s="316"/>
      <c r="E15" s="316"/>
      <c r="F15" s="316"/>
      <c r="G15" s="316"/>
      <c r="H15" s="316"/>
      <c r="I15" s="316"/>
      <c r="J15" s="316"/>
      <c r="K15" s="316"/>
      <c r="L15" s="316"/>
      <c r="M15" s="316"/>
      <c r="N15" s="316"/>
      <c r="O15" s="316"/>
      <c r="P15" s="317"/>
      <c r="Q15" s="224" t="str">
        <f>Service2!H20</f>
        <v>+15°</v>
      </c>
      <c r="R15" s="229" t="str">
        <f>Service2!N20</f>
        <v>Без осадков</v>
      </c>
      <c r="S15" s="182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160"/>
      <c r="AL15" s="160"/>
      <c r="AM15" s="160"/>
      <c r="AN15" s="160"/>
      <c r="AO15" s="160"/>
      <c r="AP15" s="160"/>
      <c r="AQ15" s="160"/>
      <c r="AR15" s="160"/>
      <c r="AS15" s="160"/>
      <c r="AT15" s="160"/>
      <c r="AU15" s="160"/>
    </row>
    <row r="16" spans="1:47" ht="18.75" x14ac:dyDescent="0.25">
      <c r="A16" s="315" t="str">
        <f>Service1!D13</f>
        <v>Черлак</v>
      </c>
      <c r="B16" s="316"/>
      <c r="C16" s="316"/>
      <c r="D16" s="316"/>
      <c r="E16" s="316"/>
      <c r="F16" s="316"/>
      <c r="G16" s="316"/>
      <c r="H16" s="316"/>
      <c r="I16" s="316"/>
      <c r="J16" s="316"/>
      <c r="K16" s="316"/>
      <c r="L16" s="316"/>
      <c r="M16" s="316"/>
      <c r="N16" s="316"/>
      <c r="O16" s="316"/>
      <c r="P16" s="317"/>
      <c r="Q16" s="223" t="str">
        <f>Service2!H21</f>
        <v>+16°</v>
      </c>
      <c r="R16" s="229" t="str">
        <f>Service2!N21</f>
        <v>Без осадков</v>
      </c>
      <c r="S16" s="182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160"/>
      <c r="AL16" s="160"/>
      <c r="AM16" s="160"/>
      <c r="AN16" s="160"/>
      <c r="AO16" s="160"/>
      <c r="AP16" s="160"/>
      <c r="AQ16" s="160"/>
      <c r="AR16" s="160"/>
      <c r="AS16" s="160"/>
      <c r="AT16" s="160"/>
      <c r="AU16" s="160"/>
    </row>
    <row r="17" spans="1:47" ht="18.75" x14ac:dyDescent="0.25">
      <c r="A17" s="315" t="str">
        <f>Service1!D14</f>
        <v>Одесское</v>
      </c>
      <c r="B17" s="316"/>
      <c r="C17" s="316"/>
      <c r="D17" s="316"/>
      <c r="E17" s="316"/>
      <c r="F17" s="316"/>
      <c r="G17" s="316"/>
      <c r="H17" s="316"/>
      <c r="I17" s="316"/>
      <c r="J17" s="316"/>
      <c r="K17" s="316"/>
      <c r="L17" s="316"/>
      <c r="M17" s="316"/>
      <c r="N17" s="316"/>
      <c r="O17" s="316"/>
      <c r="P17" s="317"/>
      <c r="Q17" s="224" t="str">
        <f>Service2!H22</f>
        <v>+16°</v>
      </c>
      <c r="R17" s="229" t="str">
        <f>Service2!N22</f>
        <v>Без осадков</v>
      </c>
      <c r="S17" s="182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160"/>
      <c r="AL17" s="160"/>
      <c r="AM17" s="160"/>
      <c r="AN17" s="160"/>
      <c r="AO17" s="160"/>
      <c r="AP17" s="160"/>
      <c r="AQ17" s="160"/>
      <c r="AR17" s="160"/>
      <c r="AS17" s="160"/>
      <c r="AT17" s="160"/>
      <c r="AU17" s="160"/>
    </row>
    <row r="18" spans="1:47" ht="18.75" x14ac:dyDescent="0.25">
      <c r="A18" s="315" t="str">
        <f>Service1!D15</f>
        <v>Павлоградка</v>
      </c>
      <c r="B18" s="316"/>
      <c r="C18" s="316"/>
      <c r="D18" s="316"/>
      <c r="E18" s="316"/>
      <c r="F18" s="316"/>
      <c r="G18" s="316"/>
      <c r="H18" s="316"/>
      <c r="I18" s="316"/>
      <c r="J18" s="316"/>
      <c r="K18" s="316"/>
      <c r="L18" s="316"/>
      <c r="M18" s="316"/>
      <c r="N18" s="316"/>
      <c r="O18" s="316"/>
      <c r="P18" s="317"/>
      <c r="Q18" s="224" t="str">
        <f>Service2!H23</f>
        <v>+16°</v>
      </c>
      <c r="R18" s="229" t="str">
        <f>Service2!N23</f>
        <v>Без осадков</v>
      </c>
      <c r="S18" s="182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160"/>
      <c r="AL18" s="160"/>
      <c r="AM18" s="160"/>
      <c r="AN18" s="160"/>
      <c r="AO18" s="160"/>
      <c r="AP18" s="160"/>
      <c r="AQ18" s="160"/>
      <c r="AR18" s="160"/>
      <c r="AS18" s="160"/>
      <c r="AT18" s="160"/>
      <c r="AU18" s="160"/>
    </row>
    <row r="19" spans="1:47" ht="18.75" customHeight="1" x14ac:dyDescent="0.25">
      <c r="A19" s="183"/>
      <c r="B19" s="183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52"/>
      <c r="T19" s="152"/>
      <c r="U19" s="152"/>
      <c r="V19" s="152"/>
      <c r="W19" s="152"/>
      <c r="X19" s="152"/>
      <c r="Y19" s="152"/>
      <c r="Z19" s="152"/>
      <c r="AA19" s="152"/>
      <c r="AB19" s="152"/>
      <c r="AC19" s="152"/>
      <c r="AD19" s="152"/>
      <c r="AE19" s="152"/>
      <c r="AF19" s="152"/>
      <c r="AG19" s="152"/>
      <c r="AH19" s="152"/>
      <c r="AI19" s="152"/>
      <c r="AJ19" s="152"/>
      <c r="AK19" s="152"/>
      <c r="AL19" s="152"/>
      <c r="AM19" s="152"/>
      <c r="AN19" s="152"/>
      <c r="AO19" s="152"/>
      <c r="AP19" s="152"/>
      <c r="AQ19" s="152"/>
      <c r="AR19" s="152"/>
      <c r="AS19" s="152"/>
      <c r="AT19" s="152"/>
      <c r="AU19" s="152"/>
    </row>
    <row r="20" spans="1:47" x14ac:dyDescent="0.25">
      <c r="A20" s="149"/>
      <c r="B20" s="149"/>
      <c r="C20" s="149"/>
      <c r="D20" s="149"/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149"/>
      <c r="W20" s="149"/>
      <c r="X20" s="149"/>
      <c r="Y20" s="149"/>
      <c r="Z20" s="149"/>
      <c r="AA20" s="149"/>
      <c r="AB20" s="149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</row>
    <row r="21" spans="1:47" ht="18.75" customHeight="1" x14ac:dyDescent="0.25">
      <c r="A21" s="149"/>
      <c r="B21" s="149"/>
      <c r="C21" s="149"/>
      <c r="D21" s="149"/>
      <c r="E21" s="149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49"/>
      <c r="AI21" s="149"/>
      <c r="AJ21" s="149"/>
      <c r="AK21" s="149"/>
      <c r="AL21" s="149"/>
      <c r="AM21" s="149"/>
      <c r="AN21" s="149"/>
      <c r="AO21" s="149"/>
      <c r="AP21" s="149"/>
      <c r="AQ21" s="149"/>
      <c r="AR21" s="149"/>
      <c r="AS21" s="149"/>
      <c r="AT21" s="149"/>
      <c r="AU21" s="149"/>
    </row>
    <row r="22" spans="1:47" x14ac:dyDescent="0.25">
      <c r="A22" s="149"/>
      <c r="B22" s="149"/>
      <c r="C22" s="149"/>
      <c r="D22" s="149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AI22" s="149"/>
      <c r="AJ22" s="149"/>
      <c r="AK22" s="149"/>
      <c r="AL22" s="149"/>
      <c r="AM22" s="149"/>
      <c r="AN22" s="149"/>
      <c r="AO22" s="149"/>
      <c r="AP22" s="149"/>
      <c r="AQ22" s="149"/>
      <c r="AR22" s="149"/>
      <c r="AS22" s="149"/>
      <c r="AT22" s="149"/>
      <c r="AU22" s="149"/>
    </row>
    <row r="23" spans="1:47" x14ac:dyDescent="0.25">
      <c r="A23" s="149"/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AI23" s="149"/>
      <c r="AJ23" s="149"/>
      <c r="AK23" s="149"/>
      <c r="AL23" s="149"/>
      <c r="AM23" s="149"/>
      <c r="AN23" s="149"/>
      <c r="AO23" s="149"/>
      <c r="AP23" s="149"/>
      <c r="AQ23" s="149"/>
      <c r="AR23" s="149"/>
      <c r="AS23" s="149"/>
      <c r="AT23" s="149"/>
      <c r="AU23" s="149"/>
    </row>
  </sheetData>
  <sheetProtection password="C71F" sheet="1" objects="1" scenarios="1" selectLockedCells="1" selectUnlockedCells="1"/>
  <mergeCells count="16">
    <mergeCell ref="A1:R1"/>
    <mergeCell ref="A9:P9"/>
    <mergeCell ref="A10:P10"/>
    <mergeCell ref="A11:P11"/>
    <mergeCell ref="A8:P8"/>
    <mergeCell ref="A4:P4"/>
    <mergeCell ref="A5:P5"/>
    <mergeCell ref="A6:P6"/>
    <mergeCell ref="A7:P7"/>
    <mergeCell ref="A17:P17"/>
    <mergeCell ref="A18:P18"/>
    <mergeCell ref="A12:P12"/>
    <mergeCell ref="A13:P13"/>
    <mergeCell ref="A14:P14"/>
    <mergeCell ref="A15:P15"/>
    <mergeCell ref="A16:P1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METEO</vt:lpstr>
      <vt:lpstr>Service1</vt:lpstr>
      <vt:lpstr>Service2</vt:lpstr>
      <vt:lpstr>JSONData</vt:lpstr>
      <vt:lpstr>VoiceDataT</vt:lpstr>
      <vt:lpstr>VoiceDataAT</vt:lpstr>
      <vt:lpstr>NBData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>DaletDesign</cp:lastModifiedBy>
  <cp:lastPrinted>2020-07-28T05:06:29Z</cp:lastPrinted>
  <dcterms:created xsi:type="dcterms:W3CDTF">2020-02-17T05:31:29Z</dcterms:created>
  <dcterms:modified xsi:type="dcterms:W3CDTF">2024-10-02T11:20:17Z</dcterms:modified>
</cp:coreProperties>
</file>