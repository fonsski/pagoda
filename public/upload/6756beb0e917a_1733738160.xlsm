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ETEO" sheetId="1" state="visible" r:id="rId4"/>
    <sheet name="Service1" sheetId="2" state="visible" r:id="rId5"/>
    <sheet name="Service2" sheetId="3" state="visible" r:id="rId6"/>
    <sheet name="JSONData" sheetId="4" state="visible" r:id="rId7"/>
    <sheet name="VoiceDataT" sheetId="5" state="visible" r:id="rId8"/>
    <sheet name="VoiceDataAT" sheetId="6" state="visible" r:id="rId9"/>
    <sheet name="NBData" sheetId="7" state="visible" r:id="rId1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<sst xmlns="http://schemas.openxmlformats.org/spreadsheetml/2006/main" count="566" uniqueCount="231">
  <si>
    <t xml:space="preserve">ЗАВТРА</t>
  </si>
  <si>
    <t xml:space="preserve">4.10.2024</t>
  </si>
  <si>
    <t xml:space="preserve">Attention! Копировать только через кнопки (слева) или сочетания клавиш Ctr+C - Ctr+V</t>
  </si>
  <si>
    <t xml:space="preserve">ДЕНЬ</t>
  </si>
  <si>
    <t xml:space="preserve">НОЧЬ</t>
  </si>
  <si>
    <t xml:space="preserve">Направление ветра</t>
  </si>
  <si>
    <t xml:space="preserve">Сила ветра</t>
  </si>
  <si>
    <t xml:space="preserve">Атмосферное давление</t>
  </si>
  <si>
    <t xml:space="preserve">Омск</t>
  </si>
  <si>
    <t xml:space="preserve">Юго-Западный</t>
  </si>
  <si>
    <t xml:space="preserve">3</t>
  </si>
  <si>
    <t xml:space="preserve">Южный</t>
  </si>
  <si>
    <t xml:space="preserve">t</t>
  </si>
  <si>
    <t xml:space="preserve">Облачность</t>
  </si>
  <si>
    <t xml:space="preserve">Явление погоды</t>
  </si>
  <si>
    <t xml:space="preserve"> Облачно</t>
  </si>
  <si>
    <t xml:space="preserve">Без осадков</t>
  </si>
  <si>
    <t xml:space="preserve"> Облачно с прояснениями</t>
  </si>
  <si>
    <t xml:space="preserve">Усть-Ишим</t>
  </si>
  <si>
    <t xml:space="preserve">Тара</t>
  </si>
  <si>
    <t xml:space="preserve">Тюкалинск</t>
  </si>
  <si>
    <t xml:space="preserve">Большеречье</t>
  </si>
  <si>
    <t xml:space="preserve">Называевск</t>
  </si>
  <si>
    <t xml:space="preserve">Тевриз</t>
  </si>
  <si>
    <t xml:space="preserve">Саргатское</t>
  </si>
  <si>
    <t xml:space="preserve">Исилькуль</t>
  </si>
  <si>
    <t xml:space="preserve"> Переменная облачность</t>
  </si>
  <si>
    <t xml:space="preserve">Калачинск</t>
  </si>
  <si>
    <t xml:space="preserve">Полтавка</t>
  </si>
  <si>
    <t xml:space="preserve">Русская Поляна</t>
  </si>
  <si>
    <t xml:space="preserve">Черлак</t>
  </si>
  <si>
    <t xml:space="preserve">Одесское</t>
  </si>
  <si>
    <t xml:space="preserve">Павлоградка</t>
  </si>
  <si>
    <t xml:space="preserve">ПОСЛЕЗАВТРА</t>
  </si>
  <si>
    <t xml:space="preserve">5.10.2024</t>
  </si>
  <si>
    <t xml:space="preserve">2</t>
  </si>
  <si>
    <t xml:space="preserve"> Ясно</t>
  </si>
  <si>
    <t xml:space="preserve">ЗДЕСЬ ПРОПИСЫВАЕМ НАЗВАНИЯ ГОРОДОВ:</t>
  </si>
  <si>
    <t xml:space="preserve">Внимаение! В конце пути должен стоять "\"</t>
  </si>
  <si>
    <t xml:space="preserve">Региональный центр</t>
  </si>
  <si>
    <t xml:space="preserve">Региональный центр НАЦ</t>
  </si>
  <si>
    <t xml:space="preserve">Пример: \\TRANSFER02\Pogoda\TXT\ или D:\Pogoda\TXT\</t>
  </si>
  <si>
    <t xml:space="preserve">ПУТЬ К ФАЙЛУ ЭКСПОРТА ДЛЯ AE</t>
  </si>
  <si>
    <t xml:space="preserve">НАЗВАНИЕ ФАЙЛА:</t>
  </si>
  <si>
    <t xml:space="preserve">ЛИСТ С ДАННЫМИ:</t>
  </si>
  <si>
    <t xml:space="preserve">c:\WORK_2020\POGODA\</t>
  </si>
  <si>
    <t xml:space="preserve">MeteoData</t>
  </si>
  <si>
    <t xml:space="preserve">JSONData</t>
  </si>
  <si>
    <t xml:space="preserve">Города 1</t>
  </si>
  <si>
    <t xml:space="preserve">Города 2</t>
  </si>
  <si>
    <t xml:space="preserve">Города 1 НАЦ</t>
  </si>
  <si>
    <t xml:space="preserve">Города 2 НАЦ</t>
  </si>
  <si>
    <t xml:space="preserve">ПУТЬ К ТЕКСТОВЫМ ФАЙЛАМ:</t>
  </si>
  <si>
    <t xml:space="preserve">НАЗВАНИЕ ТЕКСТОВИКОВ:</t>
  </si>
  <si>
    <t xml:space="preserve">ОБЛАСТЬ С ДАННЫМИ:</t>
  </si>
  <si>
    <t xml:space="preserve">ДИКТОРУ</t>
  </si>
  <si>
    <t xml:space="preserve">VoiceDataT</t>
  </si>
  <si>
    <t xml:space="preserve">A1:AX22</t>
  </si>
  <si>
    <t xml:space="preserve">VoiceDataAT</t>
  </si>
  <si>
    <t xml:space="preserve">НБ</t>
  </si>
  <si>
    <t xml:space="preserve">NBData</t>
  </si>
  <si>
    <t xml:space="preserve">A1:R18</t>
  </si>
  <si>
    <t xml:space="preserve">Погода в </t>
  </si>
  <si>
    <t xml:space="preserve">Омской области</t>
  </si>
  <si>
    <t xml:space="preserve">Омске</t>
  </si>
  <si>
    <t xml:space="preserve">Таблица: дни недели </t>
  </si>
  <si>
    <t xml:space="preserve">По информации</t>
  </si>
  <si>
    <t xml:space="preserve">Омского гидрометцентра</t>
  </si>
  <si>
    <t xml:space="preserve">Код</t>
  </si>
  <si>
    <t xml:space="preserve">Именительный</t>
  </si>
  <si>
    <t xml:space="preserve">Винительный</t>
  </si>
  <si>
    <t xml:space="preserve">Именительный НАЦ</t>
  </si>
  <si>
    <t xml:space="preserve">Винительный НАЦ</t>
  </si>
  <si>
    <t xml:space="preserve">понедельник</t>
  </si>
  <si>
    <t xml:space="preserve">вторник</t>
  </si>
  <si>
    <t xml:space="preserve">среда</t>
  </si>
  <si>
    <t xml:space="preserve">среду</t>
  </si>
  <si>
    <t xml:space="preserve">четверг</t>
  </si>
  <si>
    <t xml:space="preserve">пятница</t>
  </si>
  <si>
    <t xml:space="preserve">пятницу</t>
  </si>
  <si>
    <t xml:space="preserve">суббота</t>
  </si>
  <si>
    <t xml:space="preserve">субботу</t>
  </si>
  <si>
    <t xml:space="preserve">воскресенье</t>
  </si>
  <si>
    <t xml:space="preserve">Таблица: ветер</t>
  </si>
  <si>
    <t xml:space="preserve">Направление</t>
  </si>
  <si>
    <t xml:space="preserve">Ветер + сокращение</t>
  </si>
  <si>
    <t xml:space="preserve">Ветер + сокращение НАЦ</t>
  </si>
  <si>
    <t xml:space="preserve">Северный</t>
  </si>
  <si>
    <t xml:space="preserve">ветер С</t>
  </si>
  <si>
    <t xml:space="preserve">Северо-западный</t>
  </si>
  <si>
    <t xml:space="preserve">ветер СЗ</t>
  </si>
  <si>
    <t xml:space="preserve">Северо-восточный</t>
  </si>
  <si>
    <t xml:space="preserve">ветер СВ</t>
  </si>
  <si>
    <t xml:space="preserve">Западный</t>
  </si>
  <si>
    <t xml:space="preserve">ветер З</t>
  </si>
  <si>
    <t xml:space="preserve">Юго-западный</t>
  </si>
  <si>
    <t xml:space="preserve">ветер ЮЗ</t>
  </si>
  <si>
    <t xml:space="preserve">Юго-восточный</t>
  </si>
  <si>
    <t xml:space="preserve">ветер ЮВ</t>
  </si>
  <si>
    <t xml:space="preserve">ветер Ю</t>
  </si>
  <si>
    <t xml:space="preserve">Восточный</t>
  </si>
  <si>
    <t xml:space="preserve">ветер В</t>
  </si>
  <si>
    <t xml:space="preserve">Таблица: облачность</t>
  </si>
  <si>
    <t xml:space="preserve">Название</t>
  </si>
  <si>
    <t xml:space="preserve">Название НАЦ</t>
  </si>
  <si>
    <t xml:space="preserve"> Небольшая облачность</t>
  </si>
  <si>
    <t xml:space="preserve">Таблица: явления погоды</t>
  </si>
  <si>
    <t xml:space="preserve">Слабый дождь</t>
  </si>
  <si>
    <t xml:space="preserve">Дождь</t>
  </si>
  <si>
    <t xml:space="preserve">Сильный дождь</t>
  </si>
  <si>
    <t xml:space="preserve">Слабый снег</t>
  </si>
  <si>
    <t xml:space="preserve">Снег</t>
  </si>
  <si>
    <t xml:space="preserve">Сильный снег</t>
  </si>
  <si>
    <t xml:space="preserve">Слабый снег с дождем</t>
  </si>
  <si>
    <t xml:space="preserve">Снег с дождем</t>
  </si>
  <si>
    <t xml:space="preserve">Сильный снег с дождем</t>
  </si>
  <si>
    <t xml:space="preserve">Гроза</t>
  </si>
  <si>
    <t xml:space="preserve">Таблица: названия иконок для JSON</t>
  </si>
  <si>
    <t xml:space="preserve">Явление</t>
  </si>
  <si>
    <t xml:space="preserve">Иконка день</t>
  </si>
  <si>
    <t xml:space="preserve">Иконка ночь</t>
  </si>
  <si>
    <t xml:space="preserve">iconSun.mov</t>
  </si>
  <si>
    <t xml:space="preserve">iconMoon.mov</t>
  </si>
  <si>
    <t xml:space="preserve">iconSunCloud.mov</t>
  </si>
  <si>
    <t xml:space="preserve">iconMoonCloud.mov</t>
  </si>
  <si>
    <t xml:space="preserve">iconCloudSun.mov</t>
  </si>
  <si>
    <t xml:space="preserve">iconCloudMoon.mov</t>
  </si>
  <si>
    <t xml:space="preserve">iconClouds.mov</t>
  </si>
  <si>
    <t xml:space="preserve">iconCloudSunRainLight.mov</t>
  </si>
  <si>
    <t xml:space="preserve">iconCloudMoonRainLight.mov</t>
  </si>
  <si>
    <t xml:space="preserve"> </t>
  </si>
  <si>
    <t xml:space="preserve">iconCloudSunRainMedium.mov</t>
  </si>
  <si>
    <t xml:space="preserve">iconCloudMoonRainMedium.mov</t>
  </si>
  <si>
    <t xml:space="preserve">iconCloudSunRainHeavy.mov</t>
  </si>
  <si>
    <t xml:space="preserve">iconCloudMoonRainHeavy.mov</t>
  </si>
  <si>
    <t xml:space="preserve">iconCloudSunSnowLight.mov</t>
  </si>
  <si>
    <t xml:space="preserve">iconCloudMoonSnowLight.mov</t>
  </si>
  <si>
    <t xml:space="preserve">iconCloudSunSnowMedium.mov</t>
  </si>
  <si>
    <t xml:space="preserve">iconCloudMoonSnowMedium.mov</t>
  </si>
  <si>
    <t xml:space="preserve">iconCloudSunSnowHeavy.mov</t>
  </si>
  <si>
    <t xml:space="preserve">iconCloudMoonSnowHeavy.mov</t>
  </si>
  <si>
    <t xml:space="preserve">iconCloudSunSnowRain.mov</t>
  </si>
  <si>
    <t xml:space="preserve">iconCloudMoonSnowRain.mov</t>
  </si>
  <si>
    <t xml:space="preserve">iconCloudSunStorm.mov</t>
  </si>
  <si>
    <t xml:space="preserve">iconCloudMoonStorm.mov</t>
  </si>
  <si>
    <t xml:space="preserve">iconRainLight.mov</t>
  </si>
  <si>
    <t xml:space="preserve">iconRainMedium.mov</t>
  </si>
  <si>
    <t xml:space="preserve">iconRainHeavy.mov</t>
  </si>
  <si>
    <t xml:space="preserve">iconSnowLight.mov</t>
  </si>
  <si>
    <t xml:space="preserve">iconSnowMedium.mov</t>
  </si>
  <si>
    <t xml:space="preserve">iconSnowHeavy.mov</t>
  </si>
  <si>
    <t xml:space="preserve">iconSnowRain.mov</t>
  </si>
  <si>
    <t xml:space="preserve">iconStorm.mov</t>
  </si>
  <si>
    <t xml:space="preserve">Дата исх1:</t>
  </si>
  <si>
    <t xml:space="preserve">Дата исх2:</t>
  </si>
  <si>
    <t xml:space="preserve">Дата код1:</t>
  </si>
  <si>
    <t xml:space="preserve">Ветер исх</t>
  </si>
  <si>
    <t xml:space="preserve">Ветер JSON</t>
  </si>
  <si>
    <t xml:space="preserve">Сила ветра JSON</t>
  </si>
  <si>
    <t xml:space="preserve">Давление JSON</t>
  </si>
  <si>
    <t xml:space="preserve">Ветер НАЦ JSON</t>
  </si>
  <si>
    <t xml:space="preserve">Сила НАЦ JSON</t>
  </si>
  <si>
    <t xml:space="preserve">Давлен НАЦ JSON</t>
  </si>
  <si>
    <t xml:space="preserve">Дата код2:</t>
  </si>
  <si>
    <t xml:space="preserve">День код 1:</t>
  </si>
  <si>
    <t xml:space="preserve">День код 2:</t>
  </si>
  <si>
    <t xml:space="preserve">Температура Исх</t>
  </si>
  <si>
    <t xml:space="preserve">Температура JSON</t>
  </si>
  <si>
    <t xml:space="preserve">Пром 1</t>
  </si>
  <si>
    <t xml:space="preserve">Пром 2</t>
  </si>
  <si>
    <t xml:space="preserve">График</t>
  </si>
  <si>
    <t xml:space="preserve">График без дроби</t>
  </si>
  <si>
    <t xml:space="preserve">Иконка JSON</t>
  </si>
  <si>
    <t xml:space="preserve">График </t>
  </si>
  <si>
    <t xml:space="preserve">График JSON</t>
  </si>
  <si>
    <t xml:space="preserve">ДенНедТекст1:</t>
  </si>
  <si>
    <t xml:space="preserve">ДенНедТекст2 :</t>
  </si>
  <si>
    <t xml:space="preserve">ДеньНедСк1 JSON:</t>
  </si>
  <si>
    <t xml:space="preserve">ДеньНедСк2 JSON:</t>
  </si>
  <si>
    <t xml:space="preserve">ДатаТекст1 JSON:</t>
  </si>
  <si>
    <t xml:space="preserve">ДатаТекст2 JSON:</t>
  </si>
  <si>
    <t xml:space="preserve">ДатаДень1 JSON:</t>
  </si>
  <si>
    <t xml:space="preserve">ДатаДень2 JSON:</t>
  </si>
  <si>
    <t xml:space="preserve"> День + ДММ1 JSON:</t>
  </si>
  <si>
    <t xml:space="preserve"> Ночь + ДММ1 JSON:</t>
  </si>
  <si>
    <t xml:space="preserve"> День + ДММ2 JSON:</t>
  </si>
  <si>
    <t xml:space="preserve"> Ночь + ДММ2 JSON:</t>
  </si>
  <si>
    <t xml:space="preserve">Сцепка ДН JSON:</t>
  </si>
  <si>
    <t xml:space="preserve">Сцепка города</t>
  </si>
  <si>
    <t xml:space="preserve">Сцепка столица</t>
  </si>
  <si>
    <t xml:space="preserve">Сцепка источник</t>
  </si>
  <si>
    <t xml:space="preserve">city</t>
  </si>
  <si>
    <t xml:space="preserve">TempDayT</t>
  </si>
  <si>
    <t xml:space="preserve">TempNightT</t>
  </si>
  <si>
    <t xml:space="preserve">TempDayAT</t>
  </si>
  <si>
    <t xml:space="preserve">TempNightAT</t>
  </si>
  <si>
    <t xml:space="preserve">Graf</t>
  </si>
  <si>
    <t xml:space="preserve">IconDayT</t>
  </si>
  <si>
    <t xml:space="preserve">IconNightT</t>
  </si>
  <si>
    <t xml:space="preserve">IconDayAT</t>
  </si>
  <si>
    <t xml:space="preserve">IconNightAT</t>
  </si>
  <si>
    <t xml:space="preserve">WindDayT</t>
  </si>
  <si>
    <t xml:space="preserve">WindNightT</t>
  </si>
  <si>
    <t xml:space="preserve">WindDayAT</t>
  </si>
  <si>
    <t xml:space="preserve">WindNightAT</t>
  </si>
  <si>
    <t xml:space="preserve">ForceDayT</t>
  </si>
  <si>
    <t xml:space="preserve">ForceNightT</t>
  </si>
  <si>
    <t xml:space="preserve">ForceDayAT</t>
  </si>
  <si>
    <t xml:space="preserve">ForceNightAT</t>
  </si>
  <si>
    <t xml:space="preserve">PressureDayT</t>
  </si>
  <si>
    <t xml:space="preserve">PressureNightT</t>
  </si>
  <si>
    <t xml:space="preserve">PressureDayAT</t>
  </si>
  <si>
    <t xml:space="preserve">PressureNightAT</t>
  </si>
  <si>
    <t xml:space="preserve">TxtDataT</t>
  </si>
  <si>
    <t xml:space="preserve">TxtDataAT</t>
  </si>
  <si>
    <t xml:space="preserve">ddmmmT</t>
  </si>
  <si>
    <t xml:space="preserve">ddmmmAT</t>
  </si>
  <si>
    <t xml:space="preserve">ddmmmTxtT</t>
  </si>
  <si>
    <t xml:space="preserve">ddmmmTxtAT</t>
  </si>
  <si>
    <t xml:space="preserve">DayDdMmT</t>
  </si>
  <si>
    <t xml:space="preserve">NightDdMmT</t>
  </si>
  <si>
    <t xml:space="preserve">DayDdMmAT</t>
  </si>
  <si>
    <t xml:space="preserve">NightDdMmAT</t>
  </si>
  <si>
    <t xml:space="preserve">TxtTxtData</t>
  </si>
  <si>
    <t xml:space="preserve">TxtMulticity</t>
  </si>
  <si>
    <t xml:space="preserve">TxtCapital</t>
  </si>
  <si>
    <t xml:space="preserve">TxtSuorce</t>
  </si>
  <si>
    <t xml:space="preserve">Прогноз погоды / данные для диктора</t>
  </si>
  <si>
    <t xml:space="preserve">День</t>
  </si>
  <si>
    <t xml:space="preserve">Ветер:</t>
  </si>
  <si>
    <t xml:space="preserve">Прогноз погоды / данные для ньюсбара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</si>
</sst>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@"/>
    <numFmt numFmtId="166" formatCode="[$-FC19]d\ mmmm"/>
    <numFmt numFmtId="167" formatCode="@&quot; м/с&quot;"/>
    <numFmt numFmtId="168" formatCode="#&quot; мм&quot;"/>
    <numFmt numFmtId="169" formatCode="\+#,##0\°;\-#,##0\°;0\°"/>
    <numFmt numFmtId="170" formatCode="General"/>
    <numFmt numFmtId="171" formatCode="&quot;День, &quot;d/mm"/>
    <numFmt numFmtId="172" formatCode="#"/>
    <numFmt numFmtId="173" formatCode="0"/>
  </numFmts>
  <fonts count="17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0" tint="-0.25"/>
      <name val="Calibri"/>
      <family val="2"/>
      <charset val="204"/>
    </font>
    <font>
      <sz val="17"/>
      <color theme="1"/>
      <name val="Calibri"/>
      <family val="2"/>
      <charset val="204"/>
    </font>
    <font>
      <sz val="17"/>
      <color theme="0" tint="-0.25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u val="single"/>
      <sz val="11"/>
      <color theme="10"/>
      <name val="Calibri"/>
      <family val="2"/>
      <charset val="204"/>
    </font>
    <font>
      <b val="true"/>
      <sz val="11"/>
      <name val="Calibri"/>
      <family val="2"/>
      <charset val="204"/>
    </font>
    <font>
      <sz val="12"/>
      <color theme="1"/>
      <name val="Arial"/>
      <family val="2"/>
      <charset val="204"/>
    </font>
    <font>
      <sz val="12"/>
      <color theme="1"/>
      <name val="Calibri"/>
      <family val="2"/>
      <charset val="204"/>
    </font>
    <font>
      <b val="true"/>
      <sz val="12"/>
      <color theme="1"/>
      <name val="Calibri"/>
      <family val="2"/>
      <charset val="204"/>
    </font>
    <font>
      <sz val="14"/>
      <color theme="1"/>
      <name val="Calibri"/>
      <family val="2"/>
      <charset val="204"/>
    </font>
    <font>
      <sz val="14"/>
      <color theme="1"/>
      <name val="Arial"/>
      <family val="2"/>
      <charset val="204"/>
    </font>
    <font>
      <b val="true"/>
      <sz val="14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5"/>
        <bgColor rgb="FFD9D9D9"/>
      </patternFill>
    </fill>
    <fill>
      <patternFill patternType="solid">
        <fgColor theme="0"/>
        <bgColor rgb="FFFFFFCC"/>
      </patternFill>
    </fill>
    <fill>
      <patternFill patternType="solid">
        <fgColor theme="0" tint="-0.15"/>
        <bgColor rgb="FFBFBFBF"/>
      </patternFill>
    </fill>
  </fills>
  <borders count="58">
    <border diagonalUp="false" diagonalDown="false">
      <left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ck"/>
      <bottom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ck"/>
      <right style="thin"/>
      <top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ck"/>
      <right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/>
      <right style="thick"/>
      <top/>
      <bottom style="thick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ck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ck"/>
      <right/>
      <top style="thick"/>
      <bottom style="thin"/>
      <diagonal/>
    </border>
    <border diagonalUp="false" diagonalDown="false">
      <left/>
      <right style="thick"/>
      <top style="thick"/>
      <bottom style="thin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ck"/>
      <right/>
      <top style="thin"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ck"/>
      <right style="thick"/>
      <top style="thin"/>
      <bottom style="thin"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ck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 style="thick"/>
      <right style="thick"/>
      <top style="thin"/>
      <bottom style="thick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2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5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5" fillId="3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5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6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6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6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4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2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2" borderId="1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2" xfId="2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7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8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10" fillId="2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2" xfId="0" applyFont="fals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2" borderId="1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6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4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25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2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3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0" fillId="2" borderId="4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1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2" borderId="4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0" fillId="2" borderId="44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0" fontId="0" fillId="2" borderId="4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4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44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0" fontId="0" fillId="2" borderId="25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2" borderId="4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7" fillId="2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5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2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2" borderId="4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4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4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0" fillId="2" borderId="46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3" fontId="0" fillId="2" borderId="45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2" borderId="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4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4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7" fillId="2" borderId="4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7" fillId="2" borderId="4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2" borderId="4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7" fillId="2" borderId="4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2" borderId="4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7" fillId="2" borderId="4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4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7" fillId="2" borderId="4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4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7" fillId="2" borderId="5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5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0" fillId="2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2" borderId="53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7" fillId="2" borderId="5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5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5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2" borderId="5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5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0" fontId="7" fillId="2" borderId="5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2" borderId="5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3" fontId="0" fillId="2" borderId="5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2" borderId="5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4" borderId="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13" fillId="3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3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3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0" fontId="12" fillId="3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12" fillId="3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3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" borderId="1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2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12" fillId="3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13" fillId="3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3" fillId="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0" fontId="12" fillId="3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3" borderId="2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0" fillId="0" borderId="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0" fontId="0" fillId="0" borderId="2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15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6" fillId="3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3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4" fillId="3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0" fontId="14" fillId="3" borderId="2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4" fillId="3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4" fillId="3" borderId="2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4" fillId="3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107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Таблица1" displayName="Таблица1" ref="C32:E40" headerRowCount="1" totalsRowCount="0" totalsRowShown="0">
  <autoFilter ref="C32:E40"/>
  <tableColumns count="3">
    <tableColumn id="1" name="Направление"/>
    <tableColumn id="2" name="Ветер + сокращение"/>
    <tableColumn id="3" name="Ветер + сокращение НАЦ"/>
  </tableColumns>
</table>
</file>

<file path=xl/tables/table2.xml><?xml version="1.0" encoding="utf-8"?>
<table xmlns="http://schemas.openxmlformats.org/spreadsheetml/2006/main" id="2" name="Таблица10" displayName="Таблица10" ref="C45:D50" headerRowCount="1" totalsRowCount="0" totalsRowShown="0">
  <autoFilter ref="C45:D50"/>
  <tableColumns count="2">
    <tableColumn id="1" name="Название"/>
    <tableColumn id="2" name="Название НАЦ"/>
  </tableColumns>
</table>
</file>

<file path=xl/tables/table3.xml><?xml version="1.0" encoding="utf-8"?>
<table xmlns="http://schemas.openxmlformats.org/spreadsheetml/2006/main" id="3" name="Таблица11" displayName="Таблица11" ref="C55:D66" headerRowCount="1" totalsRowCount="0" totalsRowShown="0">
  <autoFilter ref="C55:D66"/>
  <tableColumns count="2">
    <tableColumn id="1" name="Название"/>
    <tableColumn id="2" name="Название НАЦ"/>
  </tableColumns>
</table>
</file>

<file path=xl/tables/table4.xml><?xml version="1.0" encoding="utf-8"?>
<table xmlns="http://schemas.openxmlformats.org/spreadsheetml/2006/main" id="4" name="Таблица4" displayName="Таблица4" ref="C20:G27" headerRowCount="1" totalsRowCount="0" totalsRowShown="0">
  <autoFilter ref="C20:G27"/>
  <tableColumns count="5">
    <tableColumn id="1" name="Код"/>
    <tableColumn id="2" name="Именительный"/>
    <tableColumn id="3" name="Винительный"/>
    <tableColumn id="4" name="Именительный НАЦ"/>
    <tableColumn id="5" name="Винительный НАЦ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../../Users/DaletDesign/AppData/Roaming/Microsoft/Excel/METEODATA/" TargetMode="External"/><Relationship Id="rId2" Type="http://schemas.openxmlformats.org/officeDocument/2006/relationships/hyperlink" Target="../../Users/DaletDesign/AppData/Roaming/Microsoft/Excel/TXT/" TargetMode="External"/><Relationship Id="rId3" Type="http://schemas.openxmlformats.org/officeDocument/2006/relationships/hyperlink" Target="../../Users/DaletDesign/AppData/Roaming/Microsoft/Excel/TXT/" TargetMode="External"/><Relationship Id="rId4" Type="http://schemas.openxmlformats.org/officeDocument/2006/relationships/hyperlink" Target="../../Users/DaletDesign/AppData/Roaming/Microsoft/Excel/TXT/" TargetMode="External"/><Relationship Id="rId5" Type="http://schemas.openxmlformats.org/officeDocument/2006/relationships/table" Target="../tables/table1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C45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C7" activeCellId="0" sqref="C7"/>
    </sheetView>
  </sheetViews>
  <sheetFormatPr defaultColWidth="1.70703125" defaultRowHeight="15" zeroHeight="false" outlineLevelRow="0" outlineLevelCol="0"/>
  <cols>
    <col collapsed="false" customWidth="false" hidden="false" outlineLevel="0" max="71" min="1" style="1" width="1.71"/>
    <col collapsed="false" customWidth="false" hidden="false" outlineLevel="0" max="73" min="72" style="2" width="1.71"/>
    <col collapsed="false" customWidth="false" hidden="false" outlineLevel="0" max="16384" min="74" style="1" width="1.71"/>
  </cols>
  <sheetData>
    <row r="1" customFormat="false" ht="12.75" hidden="false" customHeight="true" outlineLevel="0" collapsed="false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customFormat="false" ht="24.75" hidden="false" customHeight="true" outlineLevel="0" collapsed="false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tr">
        <f aca="false">UPPER(Service2!C9)</f>
        <v>ПЯТНИЦА</v>
      </c>
      <c r="X2" s="8"/>
      <c r="Y2" s="8"/>
      <c r="Z2" s="8"/>
      <c r="AA2" s="8"/>
      <c r="AB2" s="8"/>
      <c r="AC2" s="8"/>
      <c r="AD2" s="8"/>
      <c r="AE2" s="8"/>
      <c r="AF2" s="9"/>
      <c r="AG2" s="8" t="str">
        <f aca="false">Service2!C13</f>
        <v>4 октября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customFormat="false" ht="15" hidden="false" customHeight="false" outlineLevel="0" collapsed="false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customFormat="false" ht="15" hidden="false" customHeight="false" outlineLevel="0" collapsed="false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customFormat="false" ht="15" hidden="false" customHeight="false" outlineLevel="0" collapsed="false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customFormat="false" ht="24.75" hidden="false" customHeight="true" outlineLevel="0" collapsed="false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4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5" t="n">
        <v>760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11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10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 t="n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customFormat="false" ht="15" hidden="false" customHeight="false" outlineLevel="0" collapsed="false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12</v>
      </c>
      <c r="U7" s="11"/>
      <c r="V7" s="11"/>
      <c r="W7" s="11"/>
      <c r="X7" s="11"/>
      <c r="Y7" s="11"/>
      <c r="Z7" s="11" t="s">
        <v>13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14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12</v>
      </c>
      <c r="BW7" s="11"/>
      <c r="BX7" s="11"/>
      <c r="BY7" s="11"/>
      <c r="BZ7" s="11"/>
      <c r="CA7" s="11"/>
      <c r="CB7" s="11" t="s">
        <v>13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14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customFormat="false" ht="24.75" hidden="false" customHeight="true" outlineLevel="0" collapsed="false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20" t="n">
        <v>16</v>
      </c>
      <c r="U8" s="20"/>
      <c r="V8" s="20"/>
      <c r="W8" s="20"/>
      <c r="X8" s="20"/>
      <c r="Y8" s="20"/>
      <c r="Z8" s="21" t="s">
        <v>15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2" t="s">
        <v>16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 aca="false">OR(AND(Z8=Service1!$C$46,AW8=Service1!$C$56),AND(AW8&lt;&gt;"0",Z8&lt;&gt;Service1!$C$46))</f>
        <v>1</v>
      </c>
      <c r="BU8" s="24" t="b">
        <f aca="false">OR(AND(CB8=Service1!$C$46,CY8=Service1!$C$56),AND(CY8&gt;"0",CB8&lt;&gt;Service1!$C$46))</f>
        <v>1</v>
      </c>
      <c r="BV8" s="20" t="n">
        <v>1</v>
      </c>
      <c r="BW8" s="20"/>
      <c r="BX8" s="20"/>
      <c r="BY8" s="20"/>
      <c r="BZ8" s="20"/>
      <c r="CA8" s="20"/>
      <c r="CB8" s="22" t="s">
        <v>17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16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customFormat="false" ht="24.75" hidden="false" customHeight="true" outlineLevel="0" collapsed="false">
      <c r="B9" s="3"/>
      <c r="C9" s="12" t="s">
        <v>18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20" t="n">
        <v>14</v>
      </c>
      <c r="U9" s="20"/>
      <c r="V9" s="20"/>
      <c r="W9" s="20"/>
      <c r="X9" s="20"/>
      <c r="Y9" s="20"/>
      <c r="Z9" s="21" t="s">
        <v>15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2" t="s">
        <v>16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 aca="false">OR(AND(Z9=Service1!$C$46,AW9=Service1!$C$56),AND(AW9&lt;&gt;"0",Z9&lt;&gt;Service1!$C$46))</f>
        <v>1</v>
      </c>
      <c r="BU9" s="24" t="b">
        <f aca="false">OR(AND(CB9=Service1!$C$46,CY9=Service1!$C$56),AND(CY9&gt;"0",CB9&lt;&gt;Service1!$C$46))</f>
        <v>1</v>
      </c>
      <c r="BV9" s="20" t="n">
        <v>3</v>
      </c>
      <c r="BW9" s="20"/>
      <c r="BX9" s="20"/>
      <c r="BY9" s="20"/>
      <c r="BZ9" s="20"/>
      <c r="CA9" s="20"/>
      <c r="CB9" s="22" t="s">
        <v>15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16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customFormat="false" ht="24.75" hidden="false" customHeight="true" outlineLevel="0" collapsed="false">
      <c r="B10" s="3"/>
      <c r="C10" s="12" t="s">
        <v>19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20" t="n">
        <v>15</v>
      </c>
      <c r="U10" s="20"/>
      <c r="V10" s="20"/>
      <c r="W10" s="20"/>
      <c r="X10" s="20"/>
      <c r="Y10" s="20"/>
      <c r="Z10" s="21" t="s">
        <v>15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2" t="s">
        <v>16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 aca="false">OR(AND(Z10=Service1!$C$46,AW10=Service1!$C$56),AND(AW10&lt;&gt;"0",Z10&lt;&gt;Service1!$C$46))</f>
        <v>1</v>
      </c>
      <c r="BU10" s="24" t="b">
        <f aca="false">OR(AND(CB10=Service1!$C$46,CY10=Service1!$C$56),AND(CY10&gt;"0",CB10&lt;&gt;Service1!$C$46))</f>
        <v>1</v>
      </c>
      <c r="BV10" s="20" t="n">
        <v>3</v>
      </c>
      <c r="BW10" s="20"/>
      <c r="BX10" s="20"/>
      <c r="BY10" s="20"/>
      <c r="BZ10" s="20"/>
      <c r="CA10" s="20"/>
      <c r="CB10" s="22" t="s">
        <v>15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16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customFormat="false" ht="24.75" hidden="false" customHeight="true" outlineLevel="0" collapsed="false">
      <c r="B11" s="3"/>
      <c r="C11" s="12" t="s">
        <v>20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20" t="n">
        <v>15</v>
      </c>
      <c r="U11" s="20"/>
      <c r="V11" s="20"/>
      <c r="W11" s="20"/>
      <c r="X11" s="20"/>
      <c r="Y11" s="20"/>
      <c r="Z11" s="21" t="s">
        <v>15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2" t="s">
        <v>16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 aca="false">OR(AND(Z11=Service1!$C$46,AW11=Service1!$C$56),AND(AW11&lt;&gt;"0",Z11&lt;&gt;Service1!$C$46))</f>
        <v>1</v>
      </c>
      <c r="BU11" s="24" t="b">
        <f aca="false">OR(AND(CB11=Service1!$C$46,CY11=Service1!$C$56),AND(CY11&gt;"0",CB11&lt;&gt;Service1!$C$46))</f>
        <v>1</v>
      </c>
      <c r="BV11" s="20" t="n">
        <v>2</v>
      </c>
      <c r="BW11" s="20"/>
      <c r="BX11" s="20"/>
      <c r="BY11" s="20"/>
      <c r="BZ11" s="20"/>
      <c r="CA11" s="20"/>
      <c r="CB11" s="22" t="s">
        <v>17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16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customFormat="false" ht="24.75" hidden="false" customHeight="true" outlineLevel="0" collapsed="false">
      <c r="B12" s="3"/>
      <c r="C12" s="12" t="s">
        <v>21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20" t="n">
        <v>16</v>
      </c>
      <c r="U12" s="20"/>
      <c r="V12" s="20"/>
      <c r="W12" s="20"/>
      <c r="X12" s="20"/>
      <c r="Y12" s="20"/>
      <c r="Z12" s="21" t="s">
        <v>15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2" t="s">
        <v>16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 aca="false">OR(AND(Z12=Service1!$C$46,AW12=Service1!$C$56),AND(AW12&lt;&gt;"0",Z12&lt;&gt;Service1!$C$46))</f>
        <v>1</v>
      </c>
      <c r="BU12" s="24" t="b">
        <f aca="false">OR(AND(CB12=Service1!$C$46,CY12=Service1!$C$56),AND(CY12&gt;"0",CB12&lt;&gt;Service1!$C$46))</f>
        <v>1</v>
      </c>
      <c r="BV12" s="20" t="n">
        <v>3</v>
      </c>
      <c r="BW12" s="20"/>
      <c r="BX12" s="20"/>
      <c r="BY12" s="20"/>
      <c r="BZ12" s="20"/>
      <c r="CA12" s="20"/>
      <c r="CB12" s="22" t="s">
        <v>15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16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customFormat="false" ht="24.75" hidden="false" customHeight="true" outlineLevel="0" collapsed="false">
      <c r="B13" s="3"/>
      <c r="C13" s="12" t="s">
        <v>22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20" t="n">
        <v>16</v>
      </c>
      <c r="U13" s="20"/>
      <c r="V13" s="20"/>
      <c r="W13" s="20"/>
      <c r="X13" s="20"/>
      <c r="Y13" s="20"/>
      <c r="Z13" s="21" t="s">
        <v>15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2" t="s">
        <v>16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 aca="false">OR(AND(Z13=Service1!$C$46,AW13=Service1!$C$56),AND(AW13&lt;&gt;"0",Z13&lt;&gt;Service1!$C$46))</f>
        <v>1</v>
      </c>
      <c r="BU13" s="24" t="b">
        <f aca="false">OR(AND(CB13=Service1!$C$46,CY13=Service1!$C$56),AND(CY13&gt;"0",CB13&lt;&gt;Service1!$C$46))</f>
        <v>1</v>
      </c>
      <c r="BV13" s="20" t="n">
        <v>1</v>
      </c>
      <c r="BW13" s="20"/>
      <c r="BX13" s="20"/>
      <c r="BY13" s="20"/>
      <c r="BZ13" s="20"/>
      <c r="CA13" s="20"/>
      <c r="CB13" s="22" t="s">
        <v>17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16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customFormat="false" ht="24.75" hidden="false" customHeight="true" outlineLevel="0" collapsed="false">
      <c r="B14" s="3"/>
      <c r="C14" s="12" t="s">
        <v>23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20" t="n">
        <v>14</v>
      </c>
      <c r="U14" s="20"/>
      <c r="V14" s="20"/>
      <c r="W14" s="20"/>
      <c r="X14" s="20"/>
      <c r="Y14" s="20"/>
      <c r="Z14" s="21" t="s">
        <v>15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2" t="s">
        <v>16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 aca="false">OR(AND(Z14=Service1!$C$46,AW14=Service1!$C$56),AND(AW14&lt;&gt;"0",Z14&lt;&gt;Service1!$C$46))</f>
        <v>1</v>
      </c>
      <c r="BU14" s="29" t="n">
        <v>1</v>
      </c>
      <c r="BV14" s="20" t="n">
        <v>4</v>
      </c>
      <c r="BW14" s="20"/>
      <c r="BX14" s="20"/>
      <c r="BY14" s="20"/>
      <c r="BZ14" s="20"/>
      <c r="CA14" s="20"/>
      <c r="CB14" s="22" t="s">
        <v>15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16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customFormat="false" ht="24.75" hidden="false" customHeight="true" outlineLevel="0" collapsed="false">
      <c r="B15" s="3"/>
      <c r="C15" s="12" t="s">
        <v>24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20" t="n">
        <v>16</v>
      </c>
      <c r="U15" s="20"/>
      <c r="V15" s="20"/>
      <c r="W15" s="20"/>
      <c r="X15" s="20"/>
      <c r="Y15" s="20"/>
      <c r="Z15" s="21" t="s">
        <v>15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2" t="s">
        <v>16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 aca="false">OR(AND(Z15=Service1!$C$46,AW15=Service1!$C$56),AND(AW15&lt;&gt;"0",Z15&lt;&gt;Service1!$C$46))</f>
        <v>1</v>
      </c>
      <c r="BU15" s="24" t="b">
        <f aca="false">OR(AND(CB15=Service1!$C$46,CY15=Service1!$C$56),AND(CY15&gt;"0",CB15&lt;&gt;Service1!$C$46))</f>
        <v>1</v>
      </c>
      <c r="BV15" s="20" t="n">
        <v>1</v>
      </c>
      <c r="BW15" s="20"/>
      <c r="BX15" s="20"/>
      <c r="BY15" s="20"/>
      <c r="BZ15" s="20"/>
      <c r="CA15" s="20"/>
      <c r="CB15" s="22" t="s">
        <v>17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16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customFormat="false" ht="24.75" hidden="false" customHeight="true" outlineLevel="0" collapsed="false">
      <c r="B16" s="3"/>
      <c r="C16" s="12" t="s">
        <v>25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20" t="n">
        <v>16</v>
      </c>
      <c r="U16" s="20"/>
      <c r="V16" s="20"/>
      <c r="W16" s="20"/>
      <c r="X16" s="20"/>
      <c r="Y16" s="20"/>
      <c r="Z16" s="21" t="s">
        <v>15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2" t="s">
        <v>16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 aca="false">OR(AND(Z16=Service1!$C$46,AW16=Service1!$C$56),AND(AW16&lt;&gt;"0",Z16&lt;&gt;Service1!$C$46))</f>
        <v>1</v>
      </c>
      <c r="BU16" s="24" t="b">
        <f aca="false">OR(AND(CB16=Service1!$C$46,CY16=Service1!$C$56),AND(CY16&gt;"0",CB16&lt;&gt;Service1!$C$46))</f>
        <v>1</v>
      </c>
      <c r="BV16" s="20" t="n">
        <v>-1</v>
      </c>
      <c r="BW16" s="20"/>
      <c r="BX16" s="20"/>
      <c r="BY16" s="20"/>
      <c r="BZ16" s="20"/>
      <c r="CA16" s="20"/>
      <c r="CB16" s="22" t="s">
        <v>26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16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customFormat="false" ht="24.75" hidden="false" customHeight="true" outlineLevel="0" collapsed="false">
      <c r="B17" s="3"/>
      <c r="C17" s="12" t="s">
        <v>27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20" t="n">
        <v>16</v>
      </c>
      <c r="U17" s="20"/>
      <c r="V17" s="20"/>
      <c r="W17" s="20"/>
      <c r="X17" s="20"/>
      <c r="Y17" s="20"/>
      <c r="Z17" s="21" t="s">
        <v>15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2" t="s">
        <v>16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 aca="false">OR(AND(Z17=Service1!$C$46,AW17=Service1!$C$56),AND(AW17&lt;&gt;"0",Z17&lt;&gt;Service1!$C$46))</f>
        <v>1</v>
      </c>
      <c r="BU17" s="24" t="b">
        <f aca="false">OR(AND(CB17=Service1!$C$46,CY17=Service1!$C$56),AND(CY17&gt;"0",CB17&lt;&gt;Service1!$C$46))</f>
        <v>1</v>
      </c>
      <c r="BV17" s="20" t="n">
        <v>2</v>
      </c>
      <c r="BW17" s="20"/>
      <c r="BX17" s="20"/>
      <c r="BY17" s="20"/>
      <c r="BZ17" s="20"/>
      <c r="CA17" s="20"/>
      <c r="CB17" s="22" t="s">
        <v>17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16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customFormat="false" ht="24.75" hidden="false" customHeight="true" outlineLevel="0" collapsed="false">
      <c r="B18" s="3"/>
      <c r="C18" s="12" t="s">
        <v>28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20" t="n">
        <v>16</v>
      </c>
      <c r="U18" s="20"/>
      <c r="V18" s="20"/>
      <c r="W18" s="20"/>
      <c r="X18" s="20"/>
      <c r="Y18" s="20"/>
      <c r="Z18" s="21" t="s">
        <v>15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2" t="s">
        <v>16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 aca="false">OR(AND(Z18=Service1!$C$46,AW18=Service1!$C$56),AND(AW18&lt;&gt;"0",Z18&lt;&gt;Service1!$C$46))</f>
        <v>1</v>
      </c>
      <c r="BU18" s="24" t="b">
        <f aca="false">OR(AND(CB18=Service1!$C$46,CY18=Service1!$C$56),AND(CY18&gt;"0",CB18&lt;&gt;Service1!$C$46))</f>
        <v>1</v>
      </c>
      <c r="BV18" s="20" t="n">
        <v>0</v>
      </c>
      <c r="BW18" s="20"/>
      <c r="BX18" s="20"/>
      <c r="BY18" s="20"/>
      <c r="BZ18" s="20"/>
      <c r="CA18" s="20"/>
      <c r="CB18" s="22" t="s">
        <v>17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16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customFormat="false" ht="24.75" hidden="false" customHeight="true" outlineLevel="0" collapsed="false">
      <c r="B19" s="3"/>
      <c r="C19" s="12" t="s">
        <v>29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20" t="n">
        <v>15</v>
      </c>
      <c r="U19" s="20"/>
      <c r="V19" s="20"/>
      <c r="W19" s="20"/>
      <c r="X19" s="20"/>
      <c r="Y19" s="20"/>
      <c r="Z19" s="22" t="s">
        <v>17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 t="s">
        <v>16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 aca="false">OR(AND(Z19=Service1!$C$46,AW19=Service1!$C$56),AND(AW19&lt;&gt;"0",Z19&lt;&gt;Service1!$C$46))</f>
        <v>1</v>
      </c>
      <c r="BU19" s="24" t="b">
        <f aca="false">OR(AND(CB19=Service1!$C$46,CY19=Service1!$C$56),AND(CY19&gt;"0",CB19&lt;&gt;Service1!$C$46))</f>
        <v>1</v>
      </c>
      <c r="BV19" s="20" t="n">
        <v>1</v>
      </c>
      <c r="BW19" s="20"/>
      <c r="BX19" s="20"/>
      <c r="BY19" s="20"/>
      <c r="BZ19" s="20"/>
      <c r="CA19" s="20"/>
      <c r="CB19" s="22" t="s">
        <v>26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16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customFormat="false" ht="24.75" hidden="false" customHeight="true" outlineLevel="0" collapsed="false">
      <c r="B20" s="3"/>
      <c r="C20" s="12" t="s">
        <v>30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20" t="n">
        <v>16</v>
      </c>
      <c r="U20" s="20"/>
      <c r="V20" s="20"/>
      <c r="W20" s="20"/>
      <c r="X20" s="20"/>
      <c r="Y20" s="20"/>
      <c r="Z20" s="22" t="s">
        <v>15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 t="s">
        <v>16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 aca="false">OR(AND(Z20=Service1!$C$46,AW20=Service1!$C$56),AND(AW20&lt;&gt;"0",Z20&lt;&gt;Service1!$C$46))</f>
        <v>1</v>
      </c>
      <c r="BU20" s="24" t="b">
        <f aca="false">OR(AND(CB20=Service1!$C$46,CY20=Service1!$C$56),AND(CY20&gt;"0",CB20&lt;&gt;Service1!$C$46))</f>
        <v>1</v>
      </c>
      <c r="BV20" s="20" t="n">
        <v>1</v>
      </c>
      <c r="BW20" s="20"/>
      <c r="BX20" s="20"/>
      <c r="BY20" s="20"/>
      <c r="BZ20" s="20"/>
      <c r="CA20" s="20"/>
      <c r="CB20" s="22" t="s">
        <v>26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16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customFormat="false" ht="24.75" hidden="false" customHeight="true" outlineLevel="0" collapsed="false">
      <c r="B21" s="3"/>
      <c r="C21" s="12" t="s">
        <v>31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20" t="n">
        <v>16</v>
      </c>
      <c r="U21" s="20"/>
      <c r="V21" s="20"/>
      <c r="W21" s="20"/>
      <c r="X21" s="20"/>
      <c r="Y21" s="20"/>
      <c r="Z21" s="22" t="s">
        <v>15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 t="s">
        <v>16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 aca="false">OR(AND(Z21=Service1!$C$46,AW21=Service1!$C$56),AND(AW21&lt;&gt;"0",Z21&lt;&gt;Service1!$C$46))</f>
        <v>1</v>
      </c>
      <c r="BU21" s="24" t="b">
        <f aca="false">OR(AND(CB21=Service1!$C$46,CY21=Service1!$C$56),AND(CY21&gt;"0",CB21&lt;&gt;Service1!$C$46))</f>
        <v>1</v>
      </c>
      <c r="BV21" s="20" t="n">
        <v>1</v>
      </c>
      <c r="BW21" s="20"/>
      <c r="BX21" s="20"/>
      <c r="BY21" s="20"/>
      <c r="BZ21" s="20"/>
      <c r="CA21" s="20"/>
      <c r="CB21" s="22" t="s">
        <v>26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16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customFormat="false" ht="24.75" hidden="false" customHeight="true" outlineLevel="0" collapsed="false">
      <c r="B22" s="3"/>
      <c r="C22" s="12" t="s">
        <v>32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20" t="n">
        <v>16</v>
      </c>
      <c r="U22" s="20"/>
      <c r="V22" s="20"/>
      <c r="W22" s="20"/>
      <c r="X22" s="20"/>
      <c r="Y22" s="20"/>
      <c r="Z22" s="22" t="s">
        <v>15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 t="s">
        <v>16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 aca="false">OR(AND(Z22=Service1!$C$46,AW22=Service1!$C$56),AND(AW22&lt;&gt;"0",Z22&lt;&gt;Service1!$C$46))</f>
        <v>1</v>
      </c>
      <c r="BU22" s="24" t="b">
        <f aca="false">OR(AND(CB22=Service1!$C$46,CY22=Service1!$C$56),AND(CY22&gt;"0",CB22&lt;&gt;Service1!$C$46))</f>
        <v>1</v>
      </c>
      <c r="BV22" s="20" t="n">
        <v>1</v>
      </c>
      <c r="BW22" s="20"/>
      <c r="BX22" s="20"/>
      <c r="BY22" s="20"/>
      <c r="BZ22" s="20"/>
      <c r="CA22" s="20"/>
      <c r="CB22" s="22" t="s">
        <v>26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16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customFormat="false" ht="15" hidden="false" customHeight="false" outlineLevel="0" collapsed="false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customFormat="false" ht="15" hidden="false" customHeight="false" outlineLevel="0" collapsed="false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customFormat="false" ht="24.75" hidden="false" customHeight="true" outlineLevel="0" collapsed="false">
      <c r="C25" s="6" t="s">
        <v>33</v>
      </c>
      <c r="D25" s="6"/>
      <c r="E25" s="6"/>
      <c r="F25" s="6"/>
      <c r="G25" s="6"/>
      <c r="H25" s="6"/>
      <c r="I25" s="6"/>
      <c r="J25" s="6"/>
      <c r="K25" s="6"/>
      <c r="L25" s="7" t="s">
        <v>34</v>
      </c>
      <c r="M25" s="7"/>
      <c r="N25" s="7"/>
      <c r="O25" s="7"/>
      <c r="P25" s="7"/>
      <c r="Q25" s="7"/>
      <c r="R25" s="7"/>
      <c r="S25" s="7"/>
      <c r="T25" s="7"/>
      <c r="U25" s="7"/>
      <c r="W25" s="6" t="str">
        <f aca="false">UPPER(Service2!C10)</f>
        <v>СУББОТА</v>
      </c>
      <c r="X25" s="6"/>
      <c r="Y25" s="6"/>
      <c r="Z25" s="6"/>
      <c r="AA25" s="6"/>
      <c r="AB25" s="6"/>
      <c r="AC25" s="6"/>
      <c r="AD25" s="6"/>
      <c r="AE25" s="6"/>
      <c r="AF25" s="9"/>
      <c r="AG25" s="8" t="str">
        <f aca="false">Service2!C14</f>
        <v>5 октября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customFormat="false" ht="15" hidden="false" customHeight="false" outlineLevel="0" collapsed="false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customFormat="false" ht="15" hidden="false" customHeight="false" outlineLevel="0" collapsed="false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customFormat="false" ht="15" hidden="false" customHeight="false" outlineLevel="0" collapsed="false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customFormat="false" ht="24.75" hidden="false" customHeight="true" outlineLevel="0" collapsed="false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11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35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 t="n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11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35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 t="n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customFormat="false" ht="15" hidden="false" customHeight="false" outlineLevel="0" collapsed="false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12</v>
      </c>
      <c r="U30" s="11"/>
      <c r="V30" s="11"/>
      <c r="W30" s="11"/>
      <c r="X30" s="11"/>
      <c r="Y30" s="11"/>
      <c r="Z30" s="11" t="s">
        <v>26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16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12</v>
      </c>
      <c r="BW30" s="11"/>
      <c r="BX30" s="11"/>
      <c r="BY30" s="11"/>
      <c r="BZ30" s="11"/>
      <c r="CA30" s="11"/>
      <c r="CB30" s="11" t="s">
        <v>13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14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customFormat="false" ht="25.35" hidden="false" customHeight="false" outlineLevel="0" collapsed="false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20" t="n">
        <v>16</v>
      </c>
      <c r="U31" s="20"/>
      <c r="V31" s="20"/>
      <c r="W31" s="20"/>
      <c r="X31" s="20"/>
      <c r="Y31" s="20"/>
      <c r="Z31" s="22" t="s">
        <v>36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 t="s">
        <v>16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 aca="false">OR(AND(Z31=Service1!$C$46,AW31=Service1!$C$56),AND(AW31&gt;"0",Z31&lt;&gt;Service1!$C$46))</f>
        <v>1</v>
      </c>
      <c r="BU31" s="35" t="b">
        <f aca="false">OR(AND(CB31=Service1!$C$46,CY31=Service1!$C$56),AND(CY31&gt;"0",CB31&lt;&gt;Service1!$C$46))</f>
        <v>1</v>
      </c>
      <c r="BV31" s="20" t="n">
        <v>1</v>
      </c>
      <c r="BW31" s="20"/>
      <c r="BX31" s="20"/>
      <c r="BY31" s="20"/>
      <c r="BZ31" s="20"/>
      <c r="CA31" s="20"/>
      <c r="CB31" s="22" t="s">
        <v>36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16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customFormat="false" ht="25.35" hidden="false" customHeight="false" outlineLevel="0" collapsed="false">
      <c r="C32" s="12" t="s">
        <v>18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20" t="n">
        <v>14</v>
      </c>
      <c r="U32" s="20"/>
      <c r="V32" s="20"/>
      <c r="W32" s="20"/>
      <c r="X32" s="20"/>
      <c r="Y32" s="20"/>
      <c r="Z32" s="22" t="s">
        <v>17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 t="s">
        <v>16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 aca="false">OR(AND(Z32=Service1!$C$46,AW32=Service1!$C$56),AND(AW32&gt;"0",Z32&lt;&gt;Service1!$C$46))</f>
        <v>1</v>
      </c>
      <c r="BU32" s="35" t="b">
        <f aca="false">OR(AND(CB32=Service1!$C$46,CY32=Service1!$C$56),AND(CY32&gt;"0",CB32&lt;&gt;Service1!$C$46))</f>
        <v>1</v>
      </c>
      <c r="BV32" s="20" t="n">
        <v>3</v>
      </c>
      <c r="BW32" s="20"/>
      <c r="BX32" s="20"/>
      <c r="BY32" s="20"/>
      <c r="BZ32" s="20"/>
      <c r="CA32" s="20"/>
      <c r="CB32" s="22" t="s">
        <v>17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16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customFormat="false" ht="24.75" hidden="false" customHeight="true" outlineLevel="0" collapsed="false">
      <c r="C33" s="12" t="s">
        <v>19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20" t="n">
        <v>15</v>
      </c>
      <c r="U33" s="20"/>
      <c r="V33" s="20"/>
      <c r="W33" s="20"/>
      <c r="X33" s="20"/>
      <c r="Y33" s="20"/>
      <c r="Z33" s="22" t="s">
        <v>17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 t="s">
        <v>16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 aca="false">OR(AND(Z33=Service1!$C$46,AW33=Service1!$C$56),AND(AW33&gt;"0",Z33&lt;&gt;Service1!$C$46))</f>
        <v>1</v>
      </c>
      <c r="BU33" s="35" t="b">
        <f aca="false">OR(AND(CB33=Service1!$C$46,CY33=Service1!$C$56),AND(CY33&gt;"0",CB33&lt;&gt;Service1!$C$46))</f>
        <v>1</v>
      </c>
      <c r="BV33" s="20" t="n">
        <v>2</v>
      </c>
      <c r="BW33" s="20"/>
      <c r="BX33" s="20"/>
      <c r="BY33" s="20"/>
      <c r="BZ33" s="20"/>
      <c r="CA33" s="20"/>
      <c r="CB33" s="22" t="s">
        <v>17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16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customFormat="false" ht="24.75" hidden="false" customHeight="true" outlineLevel="0" collapsed="false">
      <c r="C34" s="12" t="s">
        <v>20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20" t="n">
        <v>16</v>
      </c>
      <c r="U34" s="20"/>
      <c r="V34" s="20"/>
      <c r="W34" s="20"/>
      <c r="X34" s="20"/>
      <c r="Y34" s="20"/>
      <c r="Z34" s="22" t="s">
        <v>36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 t="s">
        <v>16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 aca="false">OR(AND(Z34=Service1!$C$46,AW34=Service1!$C$56),AND(AW34&gt;"0",Z34&lt;&gt;Service1!$C$46))</f>
        <v>1</v>
      </c>
      <c r="BU34" s="35" t="b">
        <f aca="false">OR(AND(CB34=Service1!$C$46,CY34=Service1!$C$56),AND(CY34&gt;"0",CB34&lt;&gt;Service1!$C$46))</f>
        <v>1</v>
      </c>
      <c r="BV34" s="20" t="n">
        <v>2</v>
      </c>
      <c r="BW34" s="20"/>
      <c r="BX34" s="20"/>
      <c r="BY34" s="20"/>
      <c r="BZ34" s="20"/>
      <c r="CA34" s="20"/>
      <c r="CB34" s="22" t="s">
        <v>36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16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customFormat="false" ht="24.75" hidden="false" customHeight="true" outlineLevel="0" collapsed="false">
      <c r="C35" s="12" t="s">
        <v>21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20" t="n">
        <v>16</v>
      </c>
      <c r="U35" s="20"/>
      <c r="V35" s="20"/>
      <c r="W35" s="20"/>
      <c r="X35" s="20"/>
      <c r="Y35" s="20"/>
      <c r="Z35" s="22" t="s">
        <v>17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 t="s">
        <v>16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 aca="false">OR(AND(Z35=Service1!$C$46,AW35=Service1!$C$56),AND(AW35&gt;"0",Z35&lt;&gt;Service1!$C$46))</f>
        <v>1</v>
      </c>
      <c r="BU35" s="35" t="b">
        <f aca="false">OR(AND(CB35=Service1!$C$46,CY35=Service1!$C$56),AND(CY35&gt;"0",CB35&lt;&gt;Service1!$C$46))</f>
        <v>1</v>
      </c>
      <c r="BV35" s="20" t="n">
        <v>2</v>
      </c>
      <c r="BW35" s="20"/>
      <c r="BX35" s="20"/>
      <c r="BY35" s="20"/>
      <c r="BZ35" s="20"/>
      <c r="CA35" s="20"/>
      <c r="CB35" s="22" t="s">
        <v>17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16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customFormat="false" ht="24.75" hidden="false" customHeight="true" outlineLevel="0" collapsed="false">
      <c r="C36" s="12" t="s">
        <v>22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20" t="n">
        <v>16</v>
      </c>
      <c r="U36" s="20"/>
      <c r="V36" s="20"/>
      <c r="W36" s="20"/>
      <c r="X36" s="20"/>
      <c r="Y36" s="20"/>
      <c r="Z36" s="22" t="s">
        <v>36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 t="s">
        <v>16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 aca="false">OR(AND(Z36=Service1!$C$46,AW36=Service1!$C$56),AND(AW36&gt;"0",Z36&lt;&gt;Service1!$C$46))</f>
        <v>1</v>
      </c>
      <c r="BU36" s="35" t="b">
        <f aca="false">OR(AND(CB36=Service1!$C$46,CY36=Service1!$C$56),AND(CY36&gt;"0",CB36&lt;&gt;Service1!$C$46))</f>
        <v>1</v>
      </c>
      <c r="BV36" s="20" t="n">
        <v>1</v>
      </c>
      <c r="BW36" s="20"/>
      <c r="BX36" s="20"/>
      <c r="BY36" s="20"/>
      <c r="BZ36" s="20"/>
      <c r="CA36" s="20"/>
      <c r="CB36" s="22" t="s">
        <v>36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16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customFormat="false" ht="24.75" hidden="false" customHeight="true" outlineLevel="0" collapsed="false">
      <c r="C37" s="12" t="s">
        <v>23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20" t="n">
        <v>14</v>
      </c>
      <c r="U37" s="20"/>
      <c r="V37" s="20"/>
      <c r="W37" s="20"/>
      <c r="X37" s="20"/>
      <c r="Y37" s="20"/>
      <c r="Z37" s="22" t="s">
        <v>17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 t="s">
        <v>16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 aca="false">OR(AND(Z37=Service1!$C$46,AW37=Service1!$C$56),AND(AW37&gt;"0",Z37&lt;&gt;Service1!$C$46))</f>
        <v>1</v>
      </c>
      <c r="BU37" s="35" t="b">
        <f aca="false">OR(AND(CB37=Service1!$C$46,CY37=Service1!$C$56),AND(CY37&gt;"0",CB37&lt;&gt;Service1!$C$46))</f>
        <v>1</v>
      </c>
      <c r="BV37" s="20" t="n">
        <v>2</v>
      </c>
      <c r="BW37" s="20"/>
      <c r="BX37" s="20"/>
      <c r="BY37" s="20"/>
      <c r="BZ37" s="20"/>
      <c r="CA37" s="20"/>
      <c r="CB37" s="22" t="s">
        <v>17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16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customFormat="false" ht="24.75" hidden="false" customHeight="true" outlineLevel="0" collapsed="false">
      <c r="C38" s="12" t="s">
        <v>24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20" t="n">
        <v>16</v>
      </c>
      <c r="U38" s="20"/>
      <c r="V38" s="20"/>
      <c r="W38" s="20"/>
      <c r="X38" s="20"/>
      <c r="Y38" s="20"/>
      <c r="Z38" s="22" t="s">
        <v>17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 t="s">
        <v>16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 aca="false">OR(AND(Z38=Service1!$C$46,AW38=Service1!$C$56),AND(AW38&gt;"0",Z38&lt;&gt;Service1!$C$46))</f>
        <v>1</v>
      </c>
      <c r="BU38" s="35" t="b">
        <f aca="false">OR(AND(CB38=Service1!$C$46,CY38=Service1!$C$56),AND(CY38&gt;"0",CB38&lt;&gt;Service1!$C$46))</f>
        <v>1</v>
      </c>
      <c r="BV38" s="20" t="n">
        <v>1</v>
      </c>
      <c r="BW38" s="20"/>
      <c r="BX38" s="20"/>
      <c r="BY38" s="20"/>
      <c r="BZ38" s="20"/>
      <c r="CA38" s="20"/>
      <c r="CB38" s="22" t="s">
        <v>17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16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customFormat="false" ht="24.75" hidden="false" customHeight="true" outlineLevel="0" collapsed="false">
      <c r="C39" s="12" t="s">
        <v>25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0" t="n">
        <v>17</v>
      </c>
      <c r="U39" s="20"/>
      <c r="V39" s="20"/>
      <c r="W39" s="20"/>
      <c r="X39" s="20"/>
      <c r="Y39" s="20"/>
      <c r="Z39" s="22" t="s">
        <v>36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 t="s">
        <v>16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 aca="false">OR(AND(Z39=Service1!$C$46,AW39=Service1!$C$56),AND(AW39&gt;"0",Z39&lt;&gt;Service1!$C$46))</f>
        <v>1</v>
      </c>
      <c r="BU39" s="35" t="b">
        <f aca="false">OR(AND(CB39=Service1!$C$46,CY39=Service1!$C$56),AND(CY39&gt;"0",CB39&lt;&gt;Service1!$C$46))</f>
        <v>1</v>
      </c>
      <c r="BV39" s="20" t="n">
        <v>0</v>
      </c>
      <c r="BW39" s="20"/>
      <c r="BX39" s="20"/>
      <c r="BY39" s="20"/>
      <c r="BZ39" s="20"/>
      <c r="CA39" s="20"/>
      <c r="CB39" s="22" t="s">
        <v>36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16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customFormat="false" ht="24.75" hidden="false" customHeight="true" outlineLevel="0" collapsed="false">
      <c r="C40" s="12" t="s">
        <v>27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0" t="n">
        <v>16</v>
      </c>
      <c r="U40" s="20"/>
      <c r="V40" s="20"/>
      <c r="W40" s="20"/>
      <c r="X40" s="20"/>
      <c r="Y40" s="20"/>
      <c r="Z40" s="22" t="s">
        <v>36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 t="s">
        <v>16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 aca="false">OR(AND(Z40=Service1!$C$46,AW40=Service1!$C$56),AND(AW40&gt;"0",Z40&lt;&gt;Service1!$C$46))</f>
        <v>1</v>
      </c>
      <c r="BU40" s="35" t="b">
        <f aca="false">OR(AND(CB40=Service1!$C$46,CY40=Service1!$C$56),AND(CY40&gt;"0",CB40&lt;&gt;Service1!$C$46))</f>
        <v>1</v>
      </c>
      <c r="BV40" s="20" t="n">
        <v>1</v>
      </c>
      <c r="BW40" s="20"/>
      <c r="BX40" s="20"/>
      <c r="BY40" s="20"/>
      <c r="BZ40" s="20"/>
      <c r="CA40" s="20"/>
      <c r="CB40" s="22" t="s">
        <v>36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16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customFormat="false" ht="24.75" hidden="false" customHeight="true" outlineLevel="0" collapsed="false">
      <c r="C41" s="12" t="s">
        <v>28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0" t="n">
        <v>18</v>
      </c>
      <c r="U41" s="20"/>
      <c r="V41" s="20"/>
      <c r="W41" s="20"/>
      <c r="X41" s="20"/>
      <c r="Y41" s="20"/>
      <c r="Z41" s="22" t="s">
        <v>36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 t="s">
        <v>16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 aca="false">OR(AND(Z41=Service1!$C$46,AW41=Service1!$C$56),AND(AW41&gt;"0",Z41&lt;&gt;Service1!$C$46))</f>
        <v>1</v>
      </c>
      <c r="BU41" s="35" t="b">
        <f aca="false">OR(AND(CB41=Service1!$C$46,CY41=Service1!$C$56),AND(CY41&gt;"0",CB41&lt;&gt;Service1!$C$46))</f>
        <v>1</v>
      </c>
      <c r="BV41" s="20" t="n">
        <v>0</v>
      </c>
      <c r="BW41" s="20"/>
      <c r="BX41" s="20"/>
      <c r="BY41" s="20"/>
      <c r="BZ41" s="20"/>
      <c r="CA41" s="20"/>
      <c r="CB41" s="22" t="s">
        <v>36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16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customFormat="false" ht="24.75" hidden="false" customHeight="true" outlineLevel="0" collapsed="false">
      <c r="C42" s="12" t="s">
        <v>29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0" t="n">
        <v>17</v>
      </c>
      <c r="U42" s="20"/>
      <c r="V42" s="20"/>
      <c r="W42" s="20"/>
      <c r="X42" s="20"/>
      <c r="Y42" s="20"/>
      <c r="Z42" s="22" t="s">
        <v>36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 t="s">
        <v>16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 aca="false">OR(AND(Z42=Service1!$C$46,AW42=Service1!$C$56),AND(AW42&gt;"0",Z42&lt;&gt;Service1!$C$46))</f>
        <v>1</v>
      </c>
      <c r="BU42" s="35" t="b">
        <f aca="false">OR(AND(CB42=Service1!$C$46,CY42=Service1!$C$56),AND(CY42&gt;"0",CB42&lt;&gt;Service1!$C$46))</f>
        <v>1</v>
      </c>
      <c r="BV42" s="20" t="n">
        <v>2</v>
      </c>
      <c r="BW42" s="20"/>
      <c r="BX42" s="20"/>
      <c r="BY42" s="20"/>
      <c r="BZ42" s="20"/>
      <c r="CA42" s="20"/>
      <c r="CB42" s="22" t="s">
        <v>36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16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customFormat="false" ht="24.75" hidden="false" customHeight="true" outlineLevel="0" collapsed="false">
      <c r="C43" s="12" t="s">
        <v>30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20" t="n">
        <v>17</v>
      </c>
      <c r="U43" s="20"/>
      <c r="V43" s="20"/>
      <c r="W43" s="20"/>
      <c r="X43" s="20"/>
      <c r="Y43" s="20"/>
      <c r="Z43" s="22" t="s">
        <v>36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 t="s">
        <v>16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 aca="false">OR(AND(Z43=Service1!$C$46,AW43=Service1!$C$56),AND(AW43&gt;"0",Z43&lt;&gt;Service1!$C$46))</f>
        <v>1</v>
      </c>
      <c r="BU43" s="35" t="b">
        <f aca="false">OR(AND(CB43=Service1!$C$46,CY43=Service1!$C$56),AND(CY43&gt;"0",CB43&lt;&gt;Service1!$C$46))</f>
        <v>1</v>
      </c>
      <c r="BV43" s="20" t="n">
        <v>2</v>
      </c>
      <c r="BW43" s="20"/>
      <c r="BX43" s="20"/>
      <c r="BY43" s="20"/>
      <c r="BZ43" s="20"/>
      <c r="CA43" s="20"/>
      <c r="CB43" s="22" t="s">
        <v>36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16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customFormat="false" ht="24.75" hidden="false" customHeight="true" outlineLevel="0" collapsed="false">
      <c r="C44" s="12" t="s">
        <v>31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0" t="n">
        <v>17</v>
      </c>
      <c r="U44" s="20"/>
      <c r="V44" s="20"/>
      <c r="W44" s="20"/>
      <c r="X44" s="20"/>
      <c r="Y44" s="20"/>
      <c r="Z44" s="22" t="s">
        <v>36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 t="s">
        <v>16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 aca="false">OR(AND(Z44=Service1!$C$46,AW44=Service1!$C$56),AND(AW44&gt;"0",Z44&lt;&gt;Service1!$C$46))</f>
        <v>1</v>
      </c>
      <c r="BU44" s="35" t="b">
        <f aca="false">OR(AND(CB44=Service1!$C$46,CY44=Service1!$C$56),AND(CY44&gt;"0",CB44&lt;&gt;Service1!$C$46))</f>
        <v>1</v>
      </c>
      <c r="BV44" s="20" t="n">
        <v>1</v>
      </c>
      <c r="BW44" s="20"/>
      <c r="BX44" s="20"/>
      <c r="BY44" s="20"/>
      <c r="BZ44" s="20"/>
      <c r="CA44" s="20"/>
      <c r="CB44" s="22" t="s">
        <v>36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16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customFormat="false" ht="24.75" hidden="false" customHeight="true" outlineLevel="0" collapsed="false">
      <c r="C45" s="12" t="s">
        <v>32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0" t="n">
        <v>17</v>
      </c>
      <c r="U45" s="20"/>
      <c r="V45" s="20"/>
      <c r="W45" s="20"/>
      <c r="X45" s="20"/>
      <c r="Y45" s="20"/>
      <c r="Z45" s="22" t="s">
        <v>36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 t="s">
        <v>16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 aca="false">OR(AND(Z45=Service1!$C$46,AW45=Service1!$C$56),AND(AW45&gt;"0",Z45&lt;&gt;Service1!$C$46))</f>
        <v>1</v>
      </c>
      <c r="BU45" s="35" t="b">
        <f aca="false">OR(AND(CB45=Service1!$C$46,CY45=Service1!$C$56),AND(CY45&gt;"0",CB45&lt;&gt;Service1!$C$46))</f>
        <v>1</v>
      </c>
      <c r="BV45" s="20" t="n">
        <v>1</v>
      </c>
      <c r="BW45" s="20"/>
      <c r="BX45" s="20"/>
      <c r="BY45" s="20"/>
      <c r="BZ45" s="20"/>
      <c r="CA45" s="20"/>
      <c r="CB45" s="22" t="s">
        <v>36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16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 count="262"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priority="2" aboveAverage="0" equalAverage="0" bottom="0" percent="0" rank="0" text="" dxfId="0">
      <formula>$BU$33=0</formula>
    </cfRule>
  </conditionalFormatting>
  <conditionalFormatting sqref="CY44:DU45">
    <cfRule type="expression" priority="3" aboveAverage="0" equalAverage="0" bottom="0" percent="0" rank="0" text="" dxfId="1">
      <formula>$BU$32=0</formula>
    </cfRule>
  </conditionalFormatting>
  <conditionalFormatting sqref="CB45:CX45">
    <cfRule type="expression" priority="4" aboveAverage="0" equalAverage="0" bottom="0" percent="0" rank="0" text="" dxfId="2">
      <formula>$BU$34=0</formula>
    </cfRule>
  </conditionalFormatting>
  <conditionalFormatting sqref="AW42:BS45">
    <cfRule type="expression" priority="5" aboveAverage="0" equalAverage="0" bottom="0" percent="0" rank="0" text="" dxfId="3">
      <formula>$BT$34=0</formula>
    </cfRule>
  </conditionalFormatting>
  <conditionalFormatting sqref="AW33:BS33 AW35:BS41">
    <cfRule type="expression" priority="6" aboveAverage="0" equalAverage="0" bottom="0" percent="0" rank="0" text="" dxfId="4">
      <formula>$BT$32=0</formula>
    </cfRule>
    <cfRule type="expression" priority="7" aboveAverage="0" equalAverage="0" bottom="0" percent="0" rank="0" text="" dxfId="5">
      <formula>$BT$33=0</formula>
    </cfRule>
  </conditionalFormatting>
  <conditionalFormatting sqref="Z42:AV45">
    <cfRule type="expression" priority="8" aboveAverage="0" equalAverage="0" bottom="0" percent="0" rank="0" text="" dxfId="6">
      <formula>$BT$36=0</formula>
    </cfRule>
  </conditionalFormatting>
  <conditionalFormatting sqref="Z33:AV33 Z35:AV41">
    <cfRule type="expression" priority="9" aboveAverage="0" equalAverage="0" bottom="0" percent="0" rank="0" text="" dxfId="7">
      <formula>$BT$32=0</formula>
    </cfRule>
  </conditionalFormatting>
  <conditionalFormatting sqref="CY15:DU22">
    <cfRule type="expression" priority="10" aboveAverage="0" equalAverage="0" bottom="0" percent="0" rank="0" text="" dxfId="8">
      <formula>$BU$11=0</formula>
    </cfRule>
  </conditionalFormatting>
  <conditionalFormatting sqref="CY10:DU14">
    <cfRule type="expression" priority="11" aboveAverage="0" equalAverage="0" bottom="0" percent="0" rank="0" text="" dxfId="9">
      <formula>$BU$9=0</formula>
    </cfRule>
    <cfRule type="expression" priority="12" aboveAverage="0" equalAverage="0" bottom="0" percent="0" rank="0" text="" dxfId="10">
      <formula>$BU$10=0</formula>
    </cfRule>
  </conditionalFormatting>
  <conditionalFormatting sqref="CB21:CX22">
    <cfRule type="expression" priority="13" aboveAverage="0" equalAverage="0" bottom="0" percent="0" rank="0" text="" dxfId="11">
      <formula>$BU$20=0</formula>
    </cfRule>
  </conditionalFormatting>
  <conditionalFormatting sqref="CB15:CX19">
    <cfRule type="expression" priority="14" aboveAverage="0" equalAverage="0" bottom="0" percent="0" rank="0" text="" dxfId="12">
      <formula>$BU$13=0</formula>
    </cfRule>
  </conditionalFormatting>
  <conditionalFormatting sqref="CB10:CX14">
    <cfRule type="expression" priority="15" aboveAverage="0" equalAverage="0" bottom="0" percent="0" rank="0" text="" dxfId="13">
      <formula>$BU$9=0</formula>
    </cfRule>
  </conditionalFormatting>
  <conditionalFormatting sqref="Z21:BS21">
    <cfRule type="expression" priority="16" aboveAverage="0" equalAverage="0" bottom="0" percent="0" rank="0" text="" dxfId="14">
      <formula>$BT$21=0</formula>
    </cfRule>
  </conditionalFormatting>
  <conditionalFormatting sqref="Z20:BS20">
    <cfRule type="expression" priority="17" aboveAverage="0" equalAverage="0" bottom="0" percent="0" rank="0" text="" dxfId="15">
      <formula>$BT$20=0</formula>
    </cfRule>
  </conditionalFormatting>
  <conditionalFormatting sqref="AW19:BS19">
    <cfRule type="expression" priority="18" aboveAverage="0" equalAverage="0" bottom="0" percent="0" rank="0" text="" dxfId="16">
      <formula>$BT$19=0</formula>
    </cfRule>
  </conditionalFormatting>
  <conditionalFormatting sqref="AW18:BS18 Z19:AV19">
    <cfRule type="expression" priority="19" aboveAverage="0" equalAverage="0" bottom="0" percent="0" rank="0" text="" dxfId="17">
      <formula>$BT$18=0</formula>
    </cfRule>
  </conditionalFormatting>
  <conditionalFormatting sqref="AW17:BS17">
    <cfRule type="expression" priority="20" aboveAverage="0" equalAverage="0" bottom="0" percent="0" rank="0" text="" dxfId="18">
      <formula>$BT$17=0</formula>
    </cfRule>
  </conditionalFormatting>
  <conditionalFormatting sqref="Z16:BS16 Z17:AV18">
    <cfRule type="expression" priority="21" aboveAverage="0" equalAverage="0" bottom="0" percent="0" rank="0" text="" dxfId="19">
      <formula>$BT$16=0</formula>
    </cfRule>
  </conditionalFormatting>
  <conditionalFormatting sqref="Z15:BS15">
    <cfRule type="expression" priority="22" aboveAverage="0" equalAverage="0" bottom="0" percent="0" rank="0" text="" dxfId="20">
      <formula>$BT$15=0</formula>
    </cfRule>
  </conditionalFormatting>
  <conditionalFormatting sqref="Z14:BS14">
    <cfRule type="expression" priority="23" aboveAverage="0" equalAverage="0" bottom="0" percent="0" rank="0" text="" dxfId="21">
      <formula>$BT$14=0</formula>
    </cfRule>
  </conditionalFormatting>
  <conditionalFormatting sqref="Z13:BS13">
    <cfRule type="expression" priority="24" aboveAverage="0" equalAverage="0" bottom="0" percent="0" rank="0" text="" dxfId="22">
      <formula>$BT$13=0</formula>
    </cfRule>
  </conditionalFormatting>
  <conditionalFormatting sqref="AW12:BS12">
    <cfRule type="expression" priority="25" aboveAverage="0" equalAverage="0" bottom="0" percent="0" rank="0" text="" dxfId="23">
      <formula>$BT$12=0</formula>
    </cfRule>
  </conditionalFormatting>
  <conditionalFormatting sqref="Z11:BS11 Z12:AV12">
    <cfRule type="expression" priority="26" aboveAverage="0" equalAverage="0" bottom="0" percent="0" rank="0" text="" dxfId="24">
      <formula>$BT$11=0</formula>
    </cfRule>
  </conditionalFormatting>
  <conditionalFormatting sqref="Z10:BS10">
    <cfRule type="expression" priority="27" aboveAverage="0" equalAverage="0" bottom="0" percent="0" rank="0" text="" dxfId="25">
      <formula>$BT$10=0</formula>
    </cfRule>
  </conditionalFormatting>
  <conditionalFormatting sqref="Z9:BS9">
    <cfRule type="expression" priority="28" aboveAverage="0" equalAverage="0" bottom="0" percent="0" rank="0" text="" dxfId="26">
      <formula>$BT$9=0</formula>
    </cfRule>
  </conditionalFormatting>
  <conditionalFormatting sqref="CY45:DU45">
    <cfRule type="expression" priority="29" aboveAverage="0" equalAverage="0" bottom="0" percent="0" rank="0" text="" dxfId="27">
      <formula>$BU$45=0</formula>
    </cfRule>
  </conditionalFormatting>
  <conditionalFormatting sqref="CY44:DU44">
    <cfRule type="expression" priority="30" aboveAverage="0" equalAverage="0" bottom="0" percent="0" rank="0" text="" dxfId="28">
      <formula>$BU$44=0</formula>
    </cfRule>
  </conditionalFormatting>
  <conditionalFormatting sqref="CB33:DU43">
    <cfRule type="expression" priority="31" aboveAverage="0" equalAverage="0" bottom="0" percent="0" rank="0" text="" dxfId="29">
      <formula>$BU$33=0</formula>
    </cfRule>
  </conditionalFormatting>
  <conditionalFormatting sqref="CY32:DU32">
    <cfRule type="expression" priority="32" aboveAverage="0" equalAverage="0" bottom="0" percent="0" rank="0" text="" dxfId="30">
      <formula>$BU$32=0</formula>
    </cfRule>
  </conditionalFormatting>
  <conditionalFormatting sqref="CB31:DU31 CB32:CX32">
    <cfRule type="expression" priority="33" aboveAverage="0" equalAverage="0" bottom="0" percent="0" rank="0" text="" dxfId="31">
      <formula>$BU$31=0</formula>
    </cfRule>
  </conditionalFormatting>
  <conditionalFormatting sqref="AW45:BS45">
    <cfRule type="expression" priority="34" aboveAverage="0" equalAverage="0" bottom="0" percent="0" rank="0" text="" dxfId="32">
      <formula>$BT$45=0</formula>
    </cfRule>
  </conditionalFormatting>
  <conditionalFormatting sqref="AW44:BS44">
    <cfRule type="expression" priority="35" aboveAverage="0" equalAverage="0" bottom="0" percent="0" rank="0" text="" dxfId="33">
      <formula>$BT$44=0</formula>
    </cfRule>
  </conditionalFormatting>
  <conditionalFormatting sqref="AW43:BS43">
    <cfRule type="expression" priority="36" aboveAverage="0" equalAverage="0" bottom="0" percent="0" rank="0" text="" dxfId="34">
      <formula>$BT$43=0</formula>
    </cfRule>
  </conditionalFormatting>
  <conditionalFormatting sqref="AW42:BS42">
    <cfRule type="expression" priority="37" aboveAverage="0" equalAverage="0" bottom="0" percent="0" rank="0" text="" dxfId="35">
      <formula>$BT$42=0</formula>
    </cfRule>
  </conditionalFormatting>
  <conditionalFormatting sqref="Z32:BS32 Z34:BS34">
    <cfRule type="expression" priority="38" aboveAverage="0" equalAverage="0" bottom="0" percent="0" rank="0" text="" dxfId="36">
      <formula>$BT$32=0</formula>
    </cfRule>
  </conditionalFormatting>
  <conditionalFormatting sqref="Z31:BS31 AW32:BS32 AW34:BS34">
    <cfRule type="expression" priority="39" aboveAverage="0" equalAverage="0" bottom="0" percent="0" rank="0" text="" dxfId="37">
      <formula>$BT$31=0</formula>
    </cfRule>
  </conditionalFormatting>
  <conditionalFormatting sqref="CY22:DU22">
    <cfRule type="expression" priority="40" aboveAverage="0" equalAverage="0" bottom="0" percent="0" rank="0" text="" dxfId="38">
      <formula>$BU$22=0</formula>
    </cfRule>
  </conditionalFormatting>
  <conditionalFormatting sqref="CY21:DU21">
    <cfRule type="expression" priority="41" aboveAverage="0" equalAverage="0" bottom="0" percent="0" rank="0" text="" dxfId="39">
      <formula>$BU$21=0</formula>
    </cfRule>
  </conditionalFormatting>
  <conditionalFormatting sqref="CB20:DU20 CY21:DU21">
    <cfRule type="expression" priority="42" aboveAverage="0" equalAverage="0" bottom="0" percent="0" rank="0" text="" dxfId="40">
      <formula>$BU$20=0</formula>
    </cfRule>
  </conditionalFormatting>
  <conditionalFormatting sqref="CY19:DU19">
    <cfRule type="expression" priority="43" aboveAverage="0" equalAverage="0" bottom="0" percent="0" rank="0" text="" dxfId="41">
      <formula>$BU$19=0</formula>
    </cfRule>
  </conditionalFormatting>
  <conditionalFormatting sqref="CY18:DU18">
    <cfRule type="expression" priority="44" aboveAverage="0" equalAverage="0" bottom="0" percent="0" rank="0" text="" dxfId="42">
      <formula>$BU$18=0</formula>
    </cfRule>
  </conditionalFormatting>
  <conditionalFormatting sqref="CY17:DU17">
    <cfRule type="expression" priority="45" aboveAverage="0" equalAverage="0" bottom="0" percent="0" rank="0" text="" dxfId="43">
      <formula>$BU$17=0</formula>
    </cfRule>
  </conditionalFormatting>
  <conditionalFormatting sqref="CY16:DU16">
    <cfRule type="expression" priority="46" aboveAverage="0" equalAverage="0" bottom="0" percent="0" rank="0" text="" dxfId="44">
      <formula>$BU$16=0</formula>
    </cfRule>
  </conditionalFormatting>
  <conditionalFormatting sqref="CY15:DU15">
    <cfRule type="expression" priority="47" aboveAverage="0" equalAverage="0" bottom="0" percent="0" rank="0" text="" dxfId="45">
      <formula>$BU$15=0</formula>
    </cfRule>
  </conditionalFormatting>
  <conditionalFormatting sqref="CY9:DU9">
    <cfRule type="expression" priority="48" aboveAverage="0" equalAverage="0" bottom="0" percent="0" rank="0" text="" dxfId="46">
      <formula>$BU$9=0</formula>
    </cfRule>
  </conditionalFormatting>
  <conditionalFormatting sqref="CB8:DU8 CB9:CX9">
    <cfRule type="expression" priority="49" aboveAverage="0" equalAverage="0" bottom="0" percent="0" rank="0" text="" dxfId="47">
      <formula>$BU$8=0</formula>
    </cfRule>
  </conditionalFormatting>
  <conditionalFormatting sqref="Z8:BS8">
    <cfRule type="expression" priority="50" aboveAverage="0" equalAverage="0" bottom="0" percent="0" rank="0" text="" dxfId="48">
      <formula>$BT$8=0</formula>
    </cfRule>
  </conditionalFormatting>
  <dataValidations count="10">
    <dataValidation allowBlank="true" error="Можно ввести только целое число!" errorStyle="stop" errorTitle="Ошибка" operator="between" showDropDown="false" showErrorMessage="true" showInputMessage="true" sqref="T8:T22 BV8:BV22 T31:T45 BV31:BV45" type="whole">
      <formula1>-90</formula1>
      <formula2>90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CY17" type="list">
      <formula1>$C$24:$C$28</formula1>
      <formula2>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CB8:CB22 Z31:AV45 CB31:CX45" type="list">
      <formula1>Service1!$C$46:$C$50</formula1>
      <formula2>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Z8:AV22" type="list">
      <formula1>Service1!$C$46:$C$50</formula1>
      <formula2>0</formula2>
    </dataValidation>
    <dataValidation allowBlank="true" errorStyle="stop" operator="between" showDropDown="false" showErrorMessage="true" showInputMessage="true" sqref="AW31:BS45" type="list">
      <formula1>Service1!$C$56:$C$66</formula1>
      <formula2>0</formula2>
    </dataValidation>
    <dataValidation allowBlank="true" errorStyle="stop" operator="between" showDropDown="false" showErrorMessage="true" showInputMessage="true" sqref="CY31:DU45" type="list">
      <formula1>Service1!$C$56:$C$66</formula1>
      <formula2>0</formula2>
    </dataValidation>
    <dataValidation allowBlank="true" errorStyle="stop" operator="between" showDropDown="false" showErrorMessage="true" showInputMessage="true" sqref="AW8:BS22" type="list">
      <formula1>Service1!$C$56:$C$66</formula1>
      <formula2>0</formula2>
    </dataValidation>
    <dataValidation allowBlank="true" errorStyle="stop" operator="between" showDropDown="false" showErrorMessage="true" showInputMessage="true" sqref="CY8:DU16" type="list">
      <formula1>Service1!$C$56:$C$66</formula1>
      <formula2>0</formula2>
    </dataValidation>
    <dataValidation allowBlank="true" errorStyle="stop" operator="between" showDropDown="false" showErrorMessage="true" showInputMessage="true" sqref="CY18:DU22" type="list">
      <formula1>Service1!$C$56:$C$66</formula1>
      <formula2>0</formula2>
    </dataValidation>
    <dataValidation allowBlank="true" error="Выбери значение из раскрывающегося списка!" errorStyle="stop" errorTitle="Ошибка!" operator="between" showDropDown="false" showErrorMessage="true" showInputMessage="true" sqref="T6:AK6 BV6:CM6 T29:AK29 BV29:CM29" type="list">
      <formula1>Service1!$C$33:$C$40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1" operator="equal" id="{B0E3FFEF-3CA8-4E38-B510-7385504F99B2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52" operator="equal" id="{ED29EEE1-69EC-4166-8F55-E6C2EEB4F4D1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53" operator="equal" id="{D46343F4-3AA9-473A-A4FF-843120294FAA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54" operator="equal" id="{17F63DCB-108D-4C62-A7C0-644E44B0E0D0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Z8 CY17 Z31:Z32 CB20 Z34 CB31:CB43 Z19 CB8:CB9</xm:sqref>
        </x14:conditionalFormatting>
        <x14:conditionalFormatting xmlns:xm="http://schemas.microsoft.com/office/excel/2006/main">
          <x14:cfRule type="cellIs" priority="55" operator="equal" id="{B0272763-1194-45F6-8B90-177A6ECB2B60}">
            <xm:f>Service1!$C$65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56" operator="equal" id="{42AC76E6-203F-41D7-98A5-C490CBC6DFFD}">
            <xm:f>Service1!$C$64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57" operator="equal" id="{BB689042-A8CF-4490-8B91-00AACC46E5EA}">
            <xm:f>Service1!$C$63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58" operator="equal" id="{87D3FD78-F493-458E-9061-566A8951AC18}">
            <xm:f>Service1!$C$62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59" operator="equal" id="{1080F02D-15E6-42D5-8A44-5ED4453995FC}">
            <xm:f>Service1!$C$61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60" operator="equal" id="{3F906784-1E4B-4388-8C23-44C650BA5D9D}">
            <xm:f>Service1!$C$60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61" operator="equal" id="{D72931CE-20E7-47D6-8411-7289283F6BCA}">
            <xm:f>Service1!$C$59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62" operator="equal" id="{20599074-B0C8-415B-84BD-F87CC354A960}">
            <xm:f>Service1!$C$58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63" operator="equal" id="{ECBBC032-75EC-4440-B5D8-E5E89CA09BD9}">
            <xm:f>Service1!$C$57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64" operator="equal" id="{54C04366-1F72-4A24-A750-B0751C58DB48}">
            <xm:f>Service1!$C$56</xm:f>
            <x14:dxf>
              <fill>
                <patternFill>
                  <bgColor rgb="FFFFFFDD"/>
                </patternFill>
              </fill>
            </x14:dxf>
          </x14:cfRule>
          <xm:sqref>AW8:BS22 AW31:BS45 CY31:DU45 CY8:DU22</xm:sqref>
        </x14:conditionalFormatting>
        <x14:conditionalFormatting xmlns:xm="http://schemas.microsoft.com/office/excel/2006/main">
          <x14:cfRule type="cellIs" priority="65" operator="equal" id="{4782DE98-2D9F-44D9-A631-DD57F72200A5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66" operator="equal" id="{A8181BB9-4AC2-4487-99B0-21F56320EA34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67" operator="equal" id="{62CA1FFC-40AB-4E7A-82F8-16EAA0B79985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68" operator="equal" id="{8711B213-312B-4DA6-91C0-E6ECB08C6D59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Z9:Z12</xm:sqref>
        </x14:conditionalFormatting>
        <x14:conditionalFormatting xmlns:xm="http://schemas.microsoft.com/office/excel/2006/main">
          <x14:cfRule type="cellIs" priority="69" operator="equal" id="{726154D9-1D7A-4855-A084-1DEEFC9ED76F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0" operator="equal" id="{C95BE754-6696-483D-8057-5BE0457A10C3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1" operator="equal" id="{DE6DCEB6-88FD-4271-AABB-7E5DC7F4732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72" operator="equal" id="{3F00BD8F-602A-4288-B1EF-EB162B14CE64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Z13:Z18</xm:sqref>
        </x14:conditionalFormatting>
        <x14:conditionalFormatting xmlns:xm="http://schemas.microsoft.com/office/excel/2006/main">
          <x14:cfRule type="cellIs" priority="73" operator="equal" id="{DBFB6994-BB55-4A4C-A824-EE7559664860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4" operator="equal" id="{2A9AA61A-CD30-4E7A-88B4-814FB6A3FA74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5" operator="equal" id="{F5404FEA-D98E-4349-A4FD-EFBE1F7A8C89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76" operator="equal" id="{919B2CC7-90F8-4BDB-B03E-29587830D531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Z20:Z22</xm:sqref>
        </x14:conditionalFormatting>
        <x14:conditionalFormatting xmlns:xm="http://schemas.microsoft.com/office/excel/2006/main">
          <x14:cfRule type="cellIs" priority="77" operator="equal" id="{5EBAF370-F1A9-4414-A4E5-B5806C84E419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8" operator="equal" id="{6C9EAE5B-4BD0-43D0-986C-22AAEB1A7A54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9" operator="equal" id="{D093DF43-89EB-458F-93D2-A36B1D59809D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0" operator="equal" id="{88432F17-C6BA-4491-815C-3F1690A495D7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CB10:CB14</xm:sqref>
        </x14:conditionalFormatting>
        <x14:conditionalFormatting xmlns:xm="http://schemas.microsoft.com/office/excel/2006/main">
          <x14:cfRule type="cellIs" priority="81" operator="equal" id="{C2F464D1-70D8-4894-8D89-205BD1B8E5C0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82" operator="equal" id="{F0E22277-44F4-47CA-8A7E-63CEADAC12C5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83" operator="equal" id="{68A861C4-937E-4CAA-B296-342FB9365F42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4" operator="equal" id="{3F408E60-2637-4486-A5B2-3C4443E03056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CB15:CB19</xm:sqref>
        </x14:conditionalFormatting>
        <x14:conditionalFormatting xmlns:xm="http://schemas.microsoft.com/office/excel/2006/main">
          <x14:cfRule type="cellIs" priority="85" operator="equal" id="{4EFD8A15-902A-453A-9AA3-994FB1B9F199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86" operator="equal" id="{C0A156E3-A080-4B10-875A-91903464E034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87" operator="equal" id="{4DFDD771-D670-4FEC-A397-DED8FDE2FC5A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8" operator="equal" id="{F7635720-7C4A-4E62-949F-4048E1E1B858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CB21:CB22</xm:sqref>
        </x14:conditionalFormatting>
        <x14:conditionalFormatting xmlns:xm="http://schemas.microsoft.com/office/excel/2006/main">
          <x14:cfRule type="cellIs" priority="89" operator="equal" id="{2A14EC54-64D7-404A-9866-5243A17C312A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0" operator="equal" id="{99E2B3F1-AE7C-4A5D-ADBC-275EFD4B3D78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1" operator="equal" id="{BA36CE71-7485-4922-99A0-C0DF9FBF962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92" operator="equal" id="{8D42198D-1E84-4960-8E77-A282A6114030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Z33 Z35:Z41</xm:sqref>
        </x14:conditionalFormatting>
        <x14:conditionalFormatting xmlns:xm="http://schemas.microsoft.com/office/excel/2006/main">
          <x14:cfRule type="cellIs" priority="93" operator="equal" id="{4DC4AF57-EE5E-4643-BED3-75A981521BAA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4" operator="equal" id="{9780EBF0-34A5-47E0-AF20-1CAE78C526C5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5" operator="equal" id="{DECF1E81-F184-41ED-924F-AB278358B2F6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96" operator="equal" id="{7EE641D0-7617-4FB6-8FB6-8B67D5D212D6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Z42:Z45</xm:sqref>
        </x14:conditionalFormatting>
        <x14:conditionalFormatting xmlns:xm="http://schemas.microsoft.com/office/excel/2006/main">
          <x14:cfRule type="cellIs" priority="97" operator="equal" id="{94F5215C-866E-44E8-B1B7-30AFE4EFEE3F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8" operator="equal" id="{D281ED1F-EC7B-4B86-B7B5-9EE4503DD5CA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9" operator="equal" id="{7300BB20-A2FC-438B-90CA-A0EE9469407B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00" operator="equal" id="{2B6C8A3D-6155-4A84-954D-A1D0232D6431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CB45</xm:sqref>
        </x14:conditionalFormatting>
        <x14:conditionalFormatting xmlns:xm="http://schemas.microsoft.com/office/excel/2006/main">
          <x14:cfRule type="cellIs" priority="101" operator="equal" id="{6471CC3A-99ED-4F27-A163-FBC894D4F864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102" operator="equal" id="{D0938D25-E9CE-4547-888D-39866AA05DC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03" operator="equal" id="{75C7F057-211D-4A51-85F5-B71084B3B9F4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04" operator="equal" id="{25EC77FC-2637-417F-AEB9-69E6801C73B2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BE118"/>
  <sheetViews>
    <sheetView showFormulas="false" showGridLines="tru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C15" activeCellId="0" sqref="C15"/>
    </sheetView>
  </sheetViews>
  <sheetFormatPr defaultColWidth="9.14453125" defaultRowHeight="15" zeroHeight="false" outlineLevelRow="0" outlineLevelCol="0"/>
  <cols>
    <col collapsed="false" customWidth="true" hidden="false" outlineLevel="0" max="1" min="1" style="3" width="2.43"/>
    <col collapsed="false" customWidth="true" hidden="false" outlineLevel="0" max="2" min="2" style="3" width="1.71"/>
    <col collapsed="false" customWidth="true" hidden="false" outlineLevel="0" max="7" min="3" style="3" width="26.7"/>
    <col collapsed="false" customWidth="true" hidden="false" outlineLevel="0" max="11" min="8" style="3" width="1.71"/>
    <col collapsed="false" customWidth="true" hidden="false" outlineLevel="0" max="12" min="12" style="3" width="15.72"/>
    <col collapsed="false" customWidth="true" hidden="false" outlineLevel="0" max="17" min="13" style="3" width="24.72"/>
    <col collapsed="false" customWidth="true" hidden="false" outlineLevel="0" max="19" min="18" style="3" width="1.71"/>
    <col collapsed="false" customWidth="true" hidden="false" outlineLevel="0" max="57" min="20" style="3" width="18.7"/>
    <col collapsed="false" customWidth="false" hidden="false" outlineLevel="0" max="16384" min="58" style="3" width="9.14"/>
  </cols>
  <sheetData>
    <row r="1" customFormat="false" ht="15.75" hidden="false" customHeight="true" outlineLevel="0" collapsed="false"/>
    <row r="2" customFormat="false" ht="15.75" hidden="false" customHeight="true" outlineLevel="0" collapsed="false"/>
    <row r="3" customFormat="false" ht="15.75" hidden="false" customHeight="true" outlineLevel="0" collapsed="false">
      <c r="B3" s="36"/>
      <c r="C3" s="37" t="s">
        <v>37</v>
      </c>
      <c r="D3" s="37"/>
      <c r="E3" s="37"/>
      <c r="F3" s="37"/>
      <c r="G3" s="38"/>
      <c r="H3" s="39"/>
      <c r="K3" s="36"/>
      <c r="L3" s="31"/>
      <c r="M3" s="31"/>
      <c r="N3" s="31"/>
      <c r="O3" s="31"/>
      <c r="P3" s="31"/>
      <c r="Q3" s="31"/>
      <c r="R3" s="39"/>
    </row>
    <row r="4" customFormat="false" ht="15.75" hidden="false" customHeight="true" outlineLevel="0" collapsed="false">
      <c r="B4" s="5"/>
      <c r="C4" s="37"/>
      <c r="D4" s="37"/>
      <c r="E4" s="37"/>
      <c r="F4" s="37"/>
      <c r="G4" s="40"/>
      <c r="H4" s="41"/>
      <c r="K4" s="5"/>
      <c r="M4" s="42" t="s">
        <v>38</v>
      </c>
      <c r="N4" s="43"/>
      <c r="O4" s="44"/>
      <c r="R4" s="41"/>
    </row>
    <row r="5" customFormat="false" ht="15.75" hidden="false" customHeight="true" outlineLevel="0" collapsed="false">
      <c r="B5" s="5"/>
      <c r="C5" s="45" t="s">
        <v>39</v>
      </c>
      <c r="D5" s="45" t="s">
        <v>40</v>
      </c>
      <c r="H5" s="41"/>
      <c r="K5" s="5"/>
      <c r="M5" s="46" t="s">
        <v>41</v>
      </c>
      <c r="N5" s="47"/>
      <c r="O5" s="48"/>
      <c r="R5" s="41"/>
    </row>
    <row r="6" customFormat="false" ht="15" hidden="false" customHeight="false" outlineLevel="0" collapsed="false">
      <c r="B6" s="5"/>
      <c r="C6" s="49" t="s">
        <v>8</v>
      </c>
      <c r="D6" s="49"/>
      <c r="H6" s="41"/>
      <c r="J6" s="1"/>
      <c r="K6" s="5"/>
      <c r="M6" s="50" t="s">
        <v>42</v>
      </c>
      <c r="N6" s="44"/>
      <c r="O6" s="51" t="s">
        <v>43</v>
      </c>
      <c r="P6" s="51" t="s">
        <v>44</v>
      </c>
      <c r="Q6" s="52"/>
      <c r="R6" s="4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customFormat="false" ht="15.75" hidden="false" customHeight="false" outlineLevel="0" collapsed="false">
      <c r="B7" s="5"/>
      <c r="H7" s="41"/>
      <c r="J7" s="1"/>
      <c r="K7" s="5"/>
      <c r="M7" s="53" t="s">
        <v>45</v>
      </c>
      <c r="N7" s="53"/>
      <c r="O7" s="51" t="s">
        <v>46</v>
      </c>
      <c r="P7" s="51" t="s">
        <v>47</v>
      </c>
      <c r="Q7" s="52"/>
      <c r="R7" s="4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customFormat="false" ht="15" hidden="false" customHeight="false" outlineLevel="0" collapsed="false">
      <c r="B8" s="5"/>
      <c r="C8" s="45" t="s">
        <v>48</v>
      </c>
      <c r="D8" s="45" t="s">
        <v>49</v>
      </c>
      <c r="E8" s="45" t="s">
        <v>50</v>
      </c>
      <c r="F8" s="45" t="s">
        <v>51</v>
      </c>
      <c r="G8" s="54"/>
      <c r="H8" s="41"/>
      <c r="J8" s="1"/>
      <c r="K8" s="5"/>
      <c r="R8" s="4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customFormat="false" ht="15" hidden="false" customHeight="false" outlineLevel="0" collapsed="false">
      <c r="B9" s="5"/>
      <c r="C9" s="55" t="s">
        <v>18</v>
      </c>
      <c r="D9" s="55" t="s">
        <v>25</v>
      </c>
      <c r="E9" s="55"/>
      <c r="F9" s="55"/>
      <c r="G9" s="56"/>
      <c r="H9" s="41"/>
      <c r="J9" s="1"/>
      <c r="K9" s="5"/>
      <c r="M9" s="50" t="s">
        <v>52</v>
      </c>
      <c r="N9" s="44"/>
      <c r="O9" s="51" t="s">
        <v>53</v>
      </c>
      <c r="P9" s="51" t="s">
        <v>44</v>
      </c>
      <c r="Q9" s="51" t="s">
        <v>54</v>
      </c>
      <c r="R9" s="4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customFormat="false" ht="16.4" hidden="false" customHeight="false" outlineLevel="0" collapsed="false">
      <c r="B10" s="5"/>
      <c r="C10" s="55" t="s">
        <v>19</v>
      </c>
      <c r="D10" s="55" t="s">
        <v>27</v>
      </c>
      <c r="E10" s="55"/>
      <c r="F10" s="55"/>
      <c r="G10" s="56"/>
      <c r="H10" s="41"/>
      <c r="J10" s="1"/>
      <c r="K10" s="5"/>
      <c r="L10" s="57" t="s">
        <v>0</v>
      </c>
      <c r="M10" s="53" t="s">
        <v>45</v>
      </c>
      <c r="N10" s="53"/>
      <c r="O10" s="58" t="s">
        <v>55</v>
      </c>
      <c r="P10" s="58" t="s">
        <v>56</v>
      </c>
      <c r="Q10" s="58" t="s">
        <v>57</v>
      </c>
      <c r="R10" s="4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customFormat="false" ht="16.4" hidden="false" customHeight="false" outlineLevel="0" collapsed="false">
      <c r="B11" s="5"/>
      <c r="C11" s="55" t="s">
        <v>20</v>
      </c>
      <c r="D11" s="55" t="s">
        <v>28</v>
      </c>
      <c r="E11" s="55"/>
      <c r="F11" s="55"/>
      <c r="G11" s="56"/>
      <c r="H11" s="41"/>
      <c r="J11" s="1"/>
      <c r="K11" s="59"/>
      <c r="L11" s="57" t="s">
        <v>33</v>
      </c>
      <c r="M11" s="53" t="s">
        <v>45</v>
      </c>
      <c r="N11" s="53"/>
      <c r="O11" s="58" t="s">
        <v>55</v>
      </c>
      <c r="P11" s="58" t="s">
        <v>58</v>
      </c>
      <c r="Q11" s="58" t="s">
        <v>57</v>
      </c>
      <c r="R11" s="60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customFormat="false" ht="16.4" hidden="false" customHeight="false" outlineLevel="0" collapsed="false">
      <c r="B12" s="5"/>
      <c r="C12" s="55" t="s">
        <v>21</v>
      </c>
      <c r="D12" s="55" t="s">
        <v>29</v>
      </c>
      <c r="E12" s="55"/>
      <c r="F12" s="55"/>
      <c r="G12" s="56"/>
      <c r="H12" s="41"/>
      <c r="J12" s="1"/>
      <c r="K12" s="5"/>
      <c r="L12" s="57" t="s">
        <v>59</v>
      </c>
      <c r="M12" s="53" t="s">
        <v>45</v>
      </c>
      <c r="N12" s="53"/>
      <c r="O12" s="58" t="s">
        <v>59</v>
      </c>
      <c r="P12" s="58" t="s">
        <v>60</v>
      </c>
      <c r="Q12" s="58" t="s">
        <v>61</v>
      </c>
      <c r="R12" s="4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customFormat="false" ht="15" hidden="false" customHeight="false" outlineLevel="0" collapsed="false">
      <c r="B13" s="5"/>
      <c r="C13" s="55" t="s">
        <v>22</v>
      </c>
      <c r="D13" s="55" t="s">
        <v>30</v>
      </c>
      <c r="E13" s="55"/>
      <c r="F13" s="55"/>
      <c r="G13" s="56"/>
      <c r="H13" s="41"/>
      <c r="J13" s="1"/>
      <c r="K13" s="61"/>
      <c r="L13" s="62"/>
      <c r="M13" s="62"/>
      <c r="N13" s="62"/>
      <c r="O13" s="62"/>
      <c r="P13" s="62"/>
      <c r="Q13" s="62"/>
      <c r="R13" s="63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customFormat="false" ht="15" hidden="false" customHeight="false" outlineLevel="0" collapsed="false">
      <c r="B14" s="5"/>
      <c r="C14" s="55" t="s">
        <v>23</v>
      </c>
      <c r="D14" s="55" t="s">
        <v>31</v>
      </c>
      <c r="E14" s="55"/>
      <c r="F14" s="55"/>
      <c r="G14" s="56"/>
      <c r="H14" s="41"/>
      <c r="J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customFormat="false" ht="15" hidden="false" customHeight="false" outlineLevel="0" collapsed="false">
      <c r="B15" s="5"/>
      <c r="C15" s="49" t="s">
        <v>24</v>
      </c>
      <c r="D15" s="49" t="s">
        <v>32</v>
      </c>
      <c r="E15" s="49"/>
      <c r="F15" s="49"/>
      <c r="G15" s="56"/>
      <c r="H15" s="41"/>
      <c r="J15" s="1"/>
      <c r="K15" s="36"/>
      <c r="L15" s="31"/>
      <c r="M15" s="31"/>
      <c r="N15" s="31"/>
      <c r="O15" s="31"/>
      <c r="P15" s="31"/>
      <c r="Q15" s="31"/>
      <c r="R15" s="39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customFormat="false" ht="15" hidden="false" customHeight="false" outlineLevel="0" collapsed="false">
      <c r="B16" s="61"/>
      <c r="C16" s="62"/>
      <c r="D16" s="62"/>
      <c r="E16" s="62"/>
      <c r="F16" s="62"/>
      <c r="G16" s="62"/>
      <c r="H16" s="63"/>
      <c r="J16" s="1"/>
      <c r="K16" s="5"/>
      <c r="L16" s="57" t="s">
        <v>62</v>
      </c>
      <c r="M16" s="64" t="s">
        <v>63</v>
      </c>
      <c r="N16" s="64"/>
      <c r="O16" s="64"/>
      <c r="R16" s="4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customFormat="false" ht="15" hidden="false" customHeight="false" outlineLevel="0" collapsed="false">
      <c r="J17" s="1"/>
      <c r="K17" s="5"/>
      <c r="L17" s="57" t="s">
        <v>62</v>
      </c>
      <c r="M17" s="65" t="s">
        <v>64</v>
      </c>
      <c r="N17" s="65"/>
      <c r="O17" s="65"/>
      <c r="R17" s="4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customFormat="false" ht="15" hidden="false" customHeight="false" outlineLevel="0" collapsed="false">
      <c r="B18" s="36"/>
      <c r="C18" s="37" t="s">
        <v>65</v>
      </c>
      <c r="D18" s="37"/>
      <c r="E18" s="37"/>
      <c r="F18" s="37"/>
      <c r="G18" s="38"/>
      <c r="H18" s="39"/>
      <c r="J18" s="1"/>
      <c r="K18" s="5"/>
      <c r="R18" s="4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customFormat="false" ht="15" hidden="false" customHeight="false" outlineLevel="0" collapsed="false">
      <c r="B19" s="5"/>
      <c r="C19" s="37"/>
      <c r="D19" s="37"/>
      <c r="E19" s="37"/>
      <c r="F19" s="37"/>
      <c r="G19" s="40"/>
      <c r="H19" s="41"/>
      <c r="J19" s="1"/>
      <c r="K19" s="5"/>
      <c r="L19" s="57" t="s">
        <v>66</v>
      </c>
      <c r="M19" s="64" t="s">
        <v>67</v>
      </c>
      <c r="N19" s="64"/>
      <c r="O19" s="64"/>
      <c r="R19" s="4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customFormat="false" ht="15" hidden="false" customHeight="false" outlineLevel="0" collapsed="false">
      <c r="B20" s="5"/>
      <c r="C20" s="66" t="s">
        <v>68</v>
      </c>
      <c r="D20" s="67" t="s">
        <v>69</v>
      </c>
      <c r="E20" s="68" t="s">
        <v>70</v>
      </c>
      <c r="F20" s="67" t="s">
        <v>71</v>
      </c>
      <c r="G20" s="67" t="s">
        <v>72</v>
      </c>
      <c r="H20" s="41"/>
      <c r="J20" s="1"/>
      <c r="K20" s="61"/>
      <c r="L20" s="62"/>
      <c r="M20" s="62"/>
      <c r="N20" s="62"/>
      <c r="O20" s="62"/>
      <c r="P20" s="62"/>
      <c r="Q20" s="62"/>
      <c r="R20" s="63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customFormat="false" ht="15" hidden="false" customHeight="false" outlineLevel="0" collapsed="false">
      <c r="B21" s="5"/>
      <c r="C21" s="69" t="n">
        <v>0</v>
      </c>
      <c r="D21" s="51" t="s">
        <v>73</v>
      </c>
      <c r="E21" s="70" t="s">
        <v>73</v>
      </c>
      <c r="F21" s="71"/>
      <c r="G21" s="58"/>
      <c r="H21" s="4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customFormat="false" ht="15" hidden="false" customHeight="false" outlineLevel="0" collapsed="false">
      <c r="B22" s="5"/>
      <c r="C22" s="69" t="n">
        <v>1</v>
      </c>
      <c r="D22" s="51" t="s">
        <v>74</v>
      </c>
      <c r="E22" s="70" t="s">
        <v>74</v>
      </c>
      <c r="F22" s="71"/>
      <c r="G22" s="58"/>
      <c r="H22" s="41"/>
      <c r="J22" s="1"/>
      <c r="K22" s="36"/>
      <c r="L22" s="31"/>
      <c r="M22" s="31"/>
      <c r="N22" s="31"/>
      <c r="O22" s="31"/>
      <c r="P22" s="31"/>
      <c r="Q22" s="31"/>
      <c r="R22" s="39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customFormat="false" ht="15" hidden="false" customHeight="false" outlineLevel="0" collapsed="false">
      <c r="B23" s="5"/>
      <c r="C23" s="69" t="n">
        <v>2</v>
      </c>
      <c r="D23" s="51" t="s">
        <v>75</v>
      </c>
      <c r="E23" s="70" t="s">
        <v>76</v>
      </c>
      <c r="F23" s="71"/>
      <c r="G23" s="72"/>
      <c r="H23" s="41"/>
      <c r="J23" s="1"/>
      <c r="K23" s="5"/>
      <c r="L23" s="73"/>
      <c r="M23" s="64"/>
      <c r="N23" s="64"/>
      <c r="O23" s="64"/>
      <c r="R23" s="4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customFormat="false" ht="15" hidden="false" customHeight="false" outlineLevel="0" collapsed="false">
      <c r="B24" s="5"/>
      <c r="C24" s="69" t="n">
        <v>3</v>
      </c>
      <c r="D24" s="51" t="s">
        <v>77</v>
      </c>
      <c r="E24" s="70" t="s">
        <v>77</v>
      </c>
      <c r="F24" s="71"/>
      <c r="G24" s="72"/>
      <c r="H24" s="41"/>
      <c r="J24" s="1"/>
      <c r="K24" s="5"/>
      <c r="L24" s="73"/>
      <c r="M24" s="65"/>
      <c r="N24" s="65"/>
      <c r="O24" s="65"/>
      <c r="R24" s="4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customFormat="false" ht="15" hidden="false" customHeight="false" outlineLevel="0" collapsed="false">
      <c r="B25" s="5"/>
      <c r="C25" s="69" t="n">
        <v>4</v>
      </c>
      <c r="D25" s="51" t="s">
        <v>78</v>
      </c>
      <c r="E25" s="70" t="s">
        <v>79</v>
      </c>
      <c r="F25" s="71"/>
      <c r="G25" s="72"/>
      <c r="H25" s="41"/>
      <c r="J25" s="1"/>
      <c r="K25" s="5"/>
      <c r="R25" s="4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customFormat="false" ht="15" hidden="false" customHeight="false" outlineLevel="0" collapsed="false">
      <c r="B26" s="5"/>
      <c r="C26" s="69" t="n">
        <v>5</v>
      </c>
      <c r="D26" s="51" t="s">
        <v>80</v>
      </c>
      <c r="E26" s="70" t="s">
        <v>81</v>
      </c>
      <c r="F26" s="71"/>
      <c r="G26" s="72"/>
      <c r="H26" s="41"/>
      <c r="J26" s="1"/>
      <c r="K26" s="5"/>
      <c r="L26" s="73"/>
      <c r="M26" s="64"/>
      <c r="N26" s="64"/>
      <c r="O26" s="64"/>
      <c r="R26" s="4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customFormat="false" ht="15" hidden="false" customHeight="false" outlineLevel="0" collapsed="false">
      <c r="B27" s="5"/>
      <c r="C27" s="74" t="n">
        <v>6</v>
      </c>
      <c r="D27" s="75" t="s">
        <v>82</v>
      </c>
      <c r="E27" s="42" t="s">
        <v>82</v>
      </c>
      <c r="F27" s="76"/>
      <c r="G27" s="77"/>
      <c r="H27" s="41"/>
      <c r="J27" s="1"/>
      <c r="K27" s="61"/>
      <c r="L27" s="62"/>
      <c r="M27" s="62"/>
      <c r="N27" s="62"/>
      <c r="O27" s="62"/>
      <c r="P27" s="62"/>
      <c r="Q27" s="62"/>
      <c r="R27" s="6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customFormat="false" ht="15" hidden="false" customHeight="false" outlineLevel="0" collapsed="false">
      <c r="B28" s="61"/>
      <c r="C28" s="62"/>
      <c r="D28" s="62"/>
      <c r="E28" s="62"/>
      <c r="F28" s="62"/>
      <c r="G28" s="62"/>
      <c r="H28" s="63"/>
      <c r="J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customFormat="false" ht="15" hidden="false" customHeight="false" outlineLevel="0" collapsed="false">
      <c r="J29" s="1"/>
      <c r="Y29" s="1"/>
      <c r="Z29" s="1"/>
      <c r="AA29" s="1"/>
      <c r="AB29" s="1"/>
      <c r="AC29" s="1"/>
      <c r="AD29" s="1"/>
      <c r="AE29" s="1"/>
    </row>
    <row r="30" customFormat="false" ht="15" hidden="false" customHeight="false" outlineLevel="0" collapsed="false">
      <c r="B30" s="36"/>
      <c r="C30" s="37" t="s">
        <v>83</v>
      </c>
      <c r="D30" s="37"/>
      <c r="E30" s="37"/>
      <c r="F30" s="37"/>
      <c r="G30" s="38"/>
      <c r="H30" s="39"/>
      <c r="J30" s="1"/>
      <c r="Y30" s="1"/>
      <c r="Z30" s="1"/>
      <c r="AA30" s="1"/>
      <c r="AB30" s="1"/>
      <c r="AC30" s="1"/>
      <c r="AD30" s="1"/>
      <c r="AE30" s="1"/>
    </row>
    <row r="31" customFormat="false" ht="15" hidden="false" customHeight="false" outlineLevel="0" collapsed="false">
      <c r="B31" s="5"/>
      <c r="C31" s="37"/>
      <c r="D31" s="37"/>
      <c r="E31" s="37"/>
      <c r="F31" s="37"/>
      <c r="G31" s="40"/>
      <c r="H31" s="4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customFormat="false" ht="15" hidden="false" customHeight="false" outlineLevel="0" collapsed="false">
      <c r="B32" s="5"/>
      <c r="C32" s="78" t="s">
        <v>84</v>
      </c>
      <c r="D32" s="79" t="s">
        <v>85</v>
      </c>
      <c r="E32" s="80" t="s">
        <v>86</v>
      </c>
      <c r="H32" s="4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customFormat="false" ht="15" hidden="false" customHeight="false" outlineLevel="0" collapsed="false">
      <c r="B33" s="5"/>
      <c r="C33" s="81" t="s">
        <v>87</v>
      </c>
      <c r="D33" s="70" t="s">
        <v>88</v>
      </c>
      <c r="E33" s="58"/>
      <c r="H33" s="4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customFormat="false" ht="15" hidden="false" customHeight="false" outlineLevel="0" collapsed="false">
      <c r="B34" s="5"/>
      <c r="C34" s="81" t="s">
        <v>89</v>
      </c>
      <c r="D34" s="70" t="s">
        <v>90</v>
      </c>
      <c r="E34" s="58"/>
      <c r="H34" s="4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customFormat="false" ht="15" hidden="false" customHeight="false" outlineLevel="0" collapsed="false">
      <c r="B35" s="5"/>
      <c r="C35" s="81" t="s">
        <v>91</v>
      </c>
      <c r="D35" s="70" t="s">
        <v>92</v>
      </c>
      <c r="E35" s="58"/>
      <c r="H35" s="4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customFormat="false" ht="15" hidden="false" customHeight="false" outlineLevel="0" collapsed="false">
      <c r="B36" s="5"/>
      <c r="C36" s="81" t="s">
        <v>93</v>
      </c>
      <c r="D36" s="70" t="s">
        <v>94</v>
      </c>
      <c r="E36" s="58"/>
      <c r="H36" s="4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customFormat="false" ht="15" hidden="false" customHeight="false" outlineLevel="0" collapsed="false">
      <c r="B37" s="5"/>
      <c r="C37" s="81" t="s">
        <v>95</v>
      </c>
      <c r="D37" s="70" t="s">
        <v>96</v>
      </c>
      <c r="E37" s="58"/>
      <c r="H37" s="4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customFormat="false" ht="15" hidden="false" customHeight="false" outlineLevel="0" collapsed="false">
      <c r="B38" s="5"/>
      <c r="C38" s="81" t="s">
        <v>97</v>
      </c>
      <c r="D38" s="70" t="s">
        <v>98</v>
      </c>
      <c r="E38" s="58"/>
      <c r="H38" s="4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customFormat="false" ht="15" hidden="false" customHeight="false" outlineLevel="0" collapsed="false">
      <c r="B39" s="5"/>
      <c r="C39" s="81" t="s">
        <v>11</v>
      </c>
      <c r="D39" s="70" t="s">
        <v>99</v>
      </c>
      <c r="E39" s="58"/>
      <c r="H39" s="41"/>
      <c r="J39" s="1"/>
      <c r="K39" s="1"/>
      <c r="L39" s="1"/>
      <c r="M39" s="1"/>
      <c r="N39" s="1"/>
      <c r="O39" s="1"/>
      <c r="P39" s="1"/>
      <c r="Q39" s="1"/>
      <c r="R39" s="82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customFormat="false" ht="15" hidden="false" customHeight="false" outlineLevel="0" collapsed="false">
      <c r="B40" s="5"/>
      <c r="C40" s="44" t="s">
        <v>100</v>
      </c>
      <c r="D40" s="42" t="s">
        <v>101</v>
      </c>
      <c r="E40" s="77"/>
      <c r="H40" s="4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customFormat="false" ht="15" hidden="false" customHeight="false" outlineLevel="0" collapsed="false">
      <c r="B41" s="61"/>
      <c r="C41" s="62"/>
      <c r="D41" s="62"/>
      <c r="E41" s="62"/>
      <c r="F41" s="62"/>
      <c r="G41" s="62"/>
      <c r="H41" s="63"/>
      <c r="J41" s="1"/>
      <c r="K41" s="1"/>
      <c r="L41" s="1"/>
      <c r="M41" s="1"/>
      <c r="O41" s="1"/>
      <c r="P41" s="1"/>
      <c r="Q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customFormat="false" ht="15" hidden="false" customHeight="false" outlineLevel="0" collapsed="false">
      <c r="J42" s="1"/>
      <c r="K42" s="1"/>
      <c r="L42" s="1"/>
      <c r="M42" s="1"/>
      <c r="O42" s="1"/>
      <c r="P42" s="1"/>
      <c r="Q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customFormat="false" ht="15" hidden="false" customHeight="false" outlineLevel="0" collapsed="false">
      <c r="B43" s="36"/>
      <c r="C43" s="37" t="s">
        <v>102</v>
      </c>
      <c r="D43" s="37"/>
      <c r="E43" s="37"/>
      <c r="F43" s="37"/>
      <c r="G43" s="38"/>
      <c r="H43" s="39"/>
      <c r="J43" s="1"/>
      <c r="K43" s="1"/>
      <c r="L43" s="1"/>
      <c r="M43" s="1"/>
      <c r="O43" s="1"/>
      <c r="P43" s="1"/>
      <c r="Q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customFormat="false" ht="15" hidden="false" customHeight="false" outlineLevel="0" collapsed="false">
      <c r="B44" s="5"/>
      <c r="C44" s="37"/>
      <c r="D44" s="37"/>
      <c r="E44" s="37"/>
      <c r="F44" s="37"/>
      <c r="G44" s="40"/>
      <c r="H44" s="41"/>
      <c r="J44" s="1"/>
      <c r="K44" s="1"/>
      <c r="L44" s="1"/>
      <c r="M44" s="1"/>
      <c r="O44" s="1"/>
      <c r="P44" s="1"/>
      <c r="Q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customFormat="false" ht="15" hidden="false" customHeight="false" outlineLevel="0" collapsed="false">
      <c r="B45" s="5"/>
      <c r="C45" s="83" t="s">
        <v>103</v>
      </c>
      <c r="D45" s="79" t="s">
        <v>104</v>
      </c>
      <c r="H45" s="41"/>
      <c r="J45" s="1"/>
      <c r="K45" s="1"/>
      <c r="L45" s="1"/>
      <c r="M45" s="1"/>
      <c r="O45" s="1"/>
      <c r="P45" s="1"/>
      <c r="Q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customFormat="false" ht="15" hidden="false" customHeight="false" outlineLevel="0" collapsed="false">
      <c r="B46" s="5"/>
      <c r="C46" s="84" t="s">
        <v>36</v>
      </c>
      <c r="D46" s="85"/>
      <c r="H46" s="41"/>
      <c r="J46" s="1"/>
      <c r="K46" s="1"/>
      <c r="L46" s="1"/>
      <c r="M46" s="1"/>
      <c r="O46" s="1"/>
      <c r="P46" s="1"/>
      <c r="Q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customFormat="false" ht="15" hidden="false" customHeight="false" outlineLevel="0" collapsed="false">
      <c r="B47" s="5"/>
      <c r="C47" s="84" t="s">
        <v>105</v>
      </c>
      <c r="D47" s="86"/>
      <c r="H47" s="41"/>
      <c r="J47" s="1"/>
      <c r="K47" s="1"/>
      <c r="L47" s="1"/>
      <c r="M47" s="1"/>
      <c r="O47" s="1"/>
      <c r="P47" s="1"/>
      <c r="Q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customFormat="false" ht="15" hidden="false" customHeight="false" outlineLevel="0" collapsed="false">
      <c r="B48" s="5"/>
      <c r="C48" s="84" t="s">
        <v>26</v>
      </c>
      <c r="D48" s="86"/>
      <c r="H48" s="41"/>
      <c r="J48" s="1"/>
      <c r="K48" s="1"/>
      <c r="L48" s="1"/>
      <c r="M48" s="1"/>
      <c r="O48" s="1"/>
      <c r="P48" s="1"/>
      <c r="Q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customFormat="false" ht="15" hidden="false" customHeight="false" outlineLevel="0" collapsed="false">
      <c r="B49" s="5"/>
      <c r="C49" s="84" t="s">
        <v>17</v>
      </c>
      <c r="D49" s="86"/>
      <c r="H49" s="41"/>
      <c r="J49" s="1"/>
      <c r="K49" s="1"/>
      <c r="L49" s="1"/>
      <c r="M49" s="1"/>
      <c r="O49" s="1"/>
      <c r="P49" s="1"/>
      <c r="Q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customFormat="false" ht="15" hidden="false" customHeight="false" outlineLevel="0" collapsed="false">
      <c r="B50" s="5"/>
      <c r="C50" s="43" t="s">
        <v>15</v>
      </c>
      <c r="D50" s="87"/>
      <c r="H50" s="41"/>
      <c r="J50" s="1"/>
      <c r="K50" s="1"/>
      <c r="L50" s="1"/>
      <c r="M50" s="1"/>
      <c r="O50" s="1"/>
      <c r="P50" s="1"/>
      <c r="Q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customFormat="false" ht="15" hidden="false" customHeight="false" outlineLevel="0" collapsed="false">
      <c r="B51" s="61"/>
      <c r="C51" s="62"/>
      <c r="D51" s="62"/>
      <c r="E51" s="62"/>
      <c r="F51" s="62"/>
      <c r="G51" s="62"/>
      <c r="H51" s="63"/>
      <c r="J51" s="1"/>
      <c r="K51" s="1"/>
      <c r="L51" s="1"/>
      <c r="M51" s="1"/>
      <c r="O51" s="1"/>
      <c r="P51" s="1"/>
      <c r="Q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customFormat="false" ht="15" hidden="false" customHeight="false" outlineLevel="0" collapsed="false">
      <c r="J52" s="1"/>
      <c r="K52" s="1"/>
      <c r="L52" s="1"/>
      <c r="M52" s="1"/>
      <c r="O52" s="1"/>
      <c r="P52" s="1"/>
      <c r="Q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customFormat="false" ht="15" hidden="false" customHeight="false" outlineLevel="0" collapsed="false">
      <c r="B53" s="36"/>
      <c r="C53" s="37" t="s">
        <v>106</v>
      </c>
      <c r="D53" s="37"/>
      <c r="E53" s="37"/>
      <c r="F53" s="37"/>
      <c r="G53" s="38"/>
      <c r="H53" s="39"/>
      <c r="J53" s="1"/>
      <c r="K53" s="1"/>
      <c r="L53" s="1"/>
      <c r="M53" s="1"/>
      <c r="O53" s="1"/>
      <c r="P53" s="1"/>
      <c r="Q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customFormat="false" ht="15" hidden="false" customHeight="false" outlineLevel="0" collapsed="false">
      <c r="B54" s="5"/>
      <c r="C54" s="37"/>
      <c r="D54" s="37"/>
      <c r="E54" s="37"/>
      <c r="F54" s="37"/>
      <c r="G54" s="40"/>
      <c r="H54" s="41"/>
      <c r="J54" s="1"/>
      <c r="K54" s="1"/>
      <c r="L54" s="1"/>
      <c r="M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customFormat="false" ht="15" hidden="false" customHeight="false" outlineLevel="0" collapsed="false">
      <c r="B55" s="5"/>
      <c r="C55" s="83" t="s">
        <v>103</v>
      </c>
      <c r="D55" s="79" t="s">
        <v>104</v>
      </c>
      <c r="H55" s="41"/>
      <c r="J55" s="1"/>
      <c r="K55" s="1"/>
      <c r="L55" s="1"/>
      <c r="M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customFormat="false" ht="15" hidden="false" customHeight="false" outlineLevel="0" collapsed="false">
      <c r="B56" s="5"/>
      <c r="C56" s="84" t="s">
        <v>16</v>
      </c>
      <c r="D56" s="85"/>
      <c r="H56" s="41"/>
      <c r="J56" s="1"/>
      <c r="K56" s="1"/>
      <c r="L56" s="1"/>
      <c r="M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customFormat="false" ht="15" hidden="false" customHeight="false" outlineLevel="0" collapsed="false">
      <c r="B57" s="5"/>
      <c r="C57" s="84" t="s">
        <v>107</v>
      </c>
      <c r="D57" s="86"/>
      <c r="H57" s="4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customFormat="false" ht="15" hidden="false" customHeight="false" outlineLevel="0" collapsed="false">
      <c r="B58" s="5"/>
      <c r="C58" s="84" t="s">
        <v>108</v>
      </c>
      <c r="D58" s="86"/>
      <c r="H58" s="4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customFormat="false" ht="15" hidden="false" customHeight="false" outlineLevel="0" collapsed="false">
      <c r="B59" s="5"/>
      <c r="C59" s="84" t="s">
        <v>109</v>
      </c>
      <c r="D59" s="86"/>
      <c r="H59" s="4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customFormat="false" ht="15" hidden="false" customHeight="false" outlineLevel="0" collapsed="false">
      <c r="B60" s="5"/>
      <c r="C60" s="84" t="s">
        <v>110</v>
      </c>
      <c r="D60" s="86"/>
      <c r="H60" s="4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customFormat="false" ht="15" hidden="false" customHeight="false" outlineLevel="0" collapsed="false">
      <c r="B61" s="5"/>
      <c r="C61" s="84" t="s">
        <v>111</v>
      </c>
      <c r="D61" s="86"/>
      <c r="H61" s="4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customFormat="false" ht="15" hidden="false" customHeight="false" outlineLevel="0" collapsed="false">
      <c r="B62" s="5"/>
      <c r="C62" s="84" t="s">
        <v>112</v>
      </c>
      <c r="D62" s="86"/>
      <c r="H62" s="4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customFormat="false" ht="15" hidden="false" customHeight="false" outlineLevel="0" collapsed="false">
      <c r="B63" s="5"/>
      <c r="C63" s="84" t="s">
        <v>113</v>
      </c>
      <c r="D63" s="86"/>
      <c r="H63" s="4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customFormat="false" ht="15" hidden="false" customHeight="false" outlineLevel="0" collapsed="false">
      <c r="B64" s="5"/>
      <c r="C64" s="84" t="s">
        <v>114</v>
      </c>
      <c r="D64" s="86"/>
      <c r="H64" s="4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customFormat="false" ht="15" hidden="false" customHeight="false" outlineLevel="0" collapsed="false">
      <c r="B65" s="5"/>
      <c r="C65" s="84" t="s">
        <v>115</v>
      </c>
      <c r="D65" s="86"/>
      <c r="H65" s="4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customFormat="false" ht="15" hidden="false" customHeight="false" outlineLevel="0" collapsed="false">
      <c r="B66" s="5"/>
      <c r="C66" s="43" t="s">
        <v>116</v>
      </c>
      <c r="D66" s="87"/>
      <c r="H66" s="4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customFormat="false" ht="15" hidden="false" customHeight="false" outlineLevel="0" collapsed="false">
      <c r="B67" s="61"/>
      <c r="C67" s="62"/>
      <c r="D67" s="62"/>
      <c r="E67" s="62"/>
      <c r="F67" s="62"/>
      <c r="G67" s="62"/>
      <c r="H67" s="6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customFormat="false" ht="15" hidden="false" customHeight="false" outlineLevel="0" collapsed="false"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customFormat="false" ht="15" hidden="false" customHeight="false" outlineLevel="0" collapsed="false">
      <c r="B69" s="36"/>
      <c r="C69" s="88" t="s">
        <v>117</v>
      </c>
      <c r="D69" s="88"/>
      <c r="E69" s="88"/>
      <c r="F69" s="88"/>
      <c r="G69" s="38"/>
      <c r="H69" s="39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customFormat="false" ht="15" hidden="false" customHeight="false" outlineLevel="0" collapsed="false">
      <c r="B70" s="5"/>
      <c r="C70" s="88"/>
      <c r="D70" s="88"/>
      <c r="E70" s="88"/>
      <c r="F70" s="88"/>
      <c r="G70" s="40"/>
      <c r="H70" s="4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customFormat="false" ht="15" hidden="false" customHeight="false" outlineLevel="0" collapsed="false">
      <c r="B71" s="5"/>
      <c r="C71" s="89" t="s">
        <v>13</v>
      </c>
      <c r="D71" s="89" t="s">
        <v>118</v>
      </c>
      <c r="E71" s="89" t="s">
        <v>119</v>
      </c>
      <c r="F71" s="89" t="s">
        <v>120</v>
      </c>
      <c r="G71" s="54"/>
      <c r="H71" s="4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customFormat="false" ht="15" hidden="false" customHeight="false" outlineLevel="0" collapsed="false">
      <c r="B72" s="5"/>
      <c r="C72" s="90" t="str">
        <f aca="false">C46</f>
        <v> Ясно</v>
      </c>
      <c r="D72" s="91" t="str">
        <f aca="false">C56</f>
        <v>Без осадков</v>
      </c>
      <c r="E72" s="91" t="s">
        <v>121</v>
      </c>
      <c r="F72" s="92" t="s">
        <v>122</v>
      </c>
      <c r="H72" s="4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customFormat="false" ht="15" hidden="false" customHeight="false" outlineLevel="0" collapsed="false">
      <c r="B73" s="5"/>
      <c r="C73" s="93" t="str">
        <f aca="false">C47</f>
        <v> Небольшая облачность</v>
      </c>
      <c r="D73" s="94" t="str">
        <f aca="false">C56</f>
        <v>Без осадков</v>
      </c>
      <c r="E73" s="94" t="s">
        <v>123</v>
      </c>
      <c r="F73" s="95" t="s">
        <v>124</v>
      </c>
      <c r="H73" s="4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customFormat="false" ht="15" hidden="false" customHeight="false" outlineLevel="0" collapsed="false">
      <c r="B74" s="5"/>
      <c r="C74" s="96" t="str">
        <f aca="false">C48</f>
        <v> Переменная облачность</v>
      </c>
      <c r="D74" s="97" t="str">
        <f aca="false">C56</f>
        <v>Без осадков</v>
      </c>
      <c r="E74" s="97" t="s">
        <v>125</v>
      </c>
      <c r="F74" s="98" t="s">
        <v>126</v>
      </c>
      <c r="H74" s="4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customFormat="false" ht="15" hidden="false" customHeight="false" outlineLevel="0" collapsed="false">
      <c r="B75" s="5"/>
      <c r="C75" s="96" t="str">
        <f aca="false">C49</f>
        <v> Облачно с прояснениями</v>
      </c>
      <c r="D75" s="97" t="str">
        <f aca="false">C56</f>
        <v>Без осадков</v>
      </c>
      <c r="E75" s="97" t="s">
        <v>125</v>
      </c>
      <c r="F75" s="98" t="s">
        <v>126</v>
      </c>
      <c r="H75" s="4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customFormat="false" ht="15" hidden="false" customHeight="false" outlineLevel="0" collapsed="false">
      <c r="B76" s="5"/>
      <c r="C76" s="99" t="str">
        <f aca="false">C50</f>
        <v> Облачно</v>
      </c>
      <c r="D76" s="100" t="str">
        <f aca="false">C56</f>
        <v>Без осадков</v>
      </c>
      <c r="E76" s="100" t="s">
        <v>127</v>
      </c>
      <c r="F76" s="101" t="s">
        <v>127</v>
      </c>
      <c r="H76" s="4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customFormat="false" ht="15" hidden="false" customHeight="false" outlineLevel="0" collapsed="false">
      <c r="B77" s="5"/>
      <c r="C77" s="93" t="str">
        <f aca="false">C47</f>
        <v> Небольшая облачность</v>
      </c>
      <c r="D77" s="94" t="str">
        <f aca="false">C57</f>
        <v>Слабый дождь</v>
      </c>
      <c r="E77" s="94" t="s">
        <v>128</v>
      </c>
      <c r="F77" s="95" t="s">
        <v>129</v>
      </c>
      <c r="G77" s="3" t="s">
        <v>130</v>
      </c>
      <c r="H77" s="4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customFormat="false" ht="15" hidden="false" customHeight="false" outlineLevel="0" collapsed="false">
      <c r="B78" s="5"/>
      <c r="C78" s="96" t="str">
        <f aca="false">C47</f>
        <v> Небольшая облачность</v>
      </c>
      <c r="D78" s="97" t="str">
        <f aca="false">C58</f>
        <v>Дождь</v>
      </c>
      <c r="E78" s="97" t="s">
        <v>131</v>
      </c>
      <c r="F78" s="98" t="s">
        <v>132</v>
      </c>
      <c r="G78" s="3" t="s">
        <v>130</v>
      </c>
      <c r="H78" s="4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customFormat="false" ht="15" hidden="false" customHeight="false" outlineLevel="0" collapsed="false">
      <c r="B79" s="5"/>
      <c r="C79" s="96" t="str">
        <f aca="false">C47</f>
        <v> Небольшая облачность</v>
      </c>
      <c r="D79" s="97" t="str">
        <f aca="false">C59</f>
        <v>Сильный дождь</v>
      </c>
      <c r="E79" s="97" t="s">
        <v>133</v>
      </c>
      <c r="F79" s="98" t="s">
        <v>134</v>
      </c>
      <c r="G79" s="3" t="s">
        <v>130</v>
      </c>
      <c r="H79" s="4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customFormat="false" ht="15" hidden="false" customHeight="false" outlineLevel="0" collapsed="false">
      <c r="B80" s="5"/>
      <c r="C80" s="96" t="str">
        <f aca="false">C47</f>
        <v> Небольшая облачность</v>
      </c>
      <c r="D80" s="97" t="str">
        <f aca="false">C60</f>
        <v>Слабый снег</v>
      </c>
      <c r="E80" s="97" t="s">
        <v>135</v>
      </c>
      <c r="F80" s="98" t="s">
        <v>136</v>
      </c>
      <c r="G80" s="3" t="s">
        <v>130</v>
      </c>
      <c r="H80" s="4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customFormat="false" ht="15" hidden="false" customHeight="false" outlineLevel="0" collapsed="false">
      <c r="B81" s="5"/>
      <c r="C81" s="96" t="str">
        <f aca="false">C47</f>
        <v> Небольшая облачность</v>
      </c>
      <c r="D81" s="97" t="str">
        <f aca="false">C61</f>
        <v>Снег</v>
      </c>
      <c r="E81" s="97" t="s">
        <v>137</v>
      </c>
      <c r="F81" s="98" t="s">
        <v>138</v>
      </c>
      <c r="G81" s="3" t="s">
        <v>130</v>
      </c>
      <c r="H81" s="4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customFormat="false" ht="15" hidden="false" customHeight="false" outlineLevel="0" collapsed="false">
      <c r="B82" s="5"/>
      <c r="C82" s="96" t="str">
        <f aca="false">C47</f>
        <v> Небольшая облачность</v>
      </c>
      <c r="D82" s="97" t="str">
        <f aca="false">C62</f>
        <v>Сильный снег</v>
      </c>
      <c r="E82" s="97" t="s">
        <v>139</v>
      </c>
      <c r="F82" s="98" t="s">
        <v>140</v>
      </c>
      <c r="G82" s="3" t="s">
        <v>130</v>
      </c>
      <c r="H82" s="4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customFormat="false" ht="15" hidden="false" customHeight="false" outlineLevel="0" collapsed="false">
      <c r="B83" s="5"/>
      <c r="C83" s="96" t="str">
        <f aca="false">C47</f>
        <v> Небольшая облачность</v>
      </c>
      <c r="D83" s="97" t="str">
        <f aca="false">C63</f>
        <v>Слабый снег с дождем</v>
      </c>
      <c r="E83" s="97" t="s">
        <v>141</v>
      </c>
      <c r="F83" s="98" t="s">
        <v>142</v>
      </c>
      <c r="G83" s="3" t="s">
        <v>130</v>
      </c>
      <c r="H83" s="4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customFormat="false" ht="15" hidden="false" customHeight="false" outlineLevel="0" collapsed="false">
      <c r="B84" s="5"/>
      <c r="C84" s="96" t="str">
        <f aca="false">C47</f>
        <v> Небольшая облачность</v>
      </c>
      <c r="D84" s="97" t="str">
        <f aca="false">C64</f>
        <v>Снег с дождем</v>
      </c>
      <c r="E84" s="97" t="s">
        <v>141</v>
      </c>
      <c r="F84" s="98" t="s">
        <v>142</v>
      </c>
      <c r="G84" s="3" t="s">
        <v>130</v>
      </c>
      <c r="H84" s="4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customFormat="false" ht="15" hidden="false" customHeight="false" outlineLevel="0" collapsed="false">
      <c r="B85" s="5"/>
      <c r="C85" s="96" t="str">
        <f aca="false">C47</f>
        <v> Небольшая облачность</v>
      </c>
      <c r="D85" s="97" t="str">
        <f aca="false">C65</f>
        <v>Сильный снег с дождем</v>
      </c>
      <c r="E85" s="97" t="s">
        <v>141</v>
      </c>
      <c r="F85" s="98" t="s">
        <v>142</v>
      </c>
      <c r="G85" s="3" t="s">
        <v>130</v>
      </c>
      <c r="H85" s="4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customFormat="false" ht="15" hidden="false" customHeight="false" outlineLevel="0" collapsed="false">
      <c r="B86" s="5"/>
      <c r="C86" s="99" t="str">
        <f aca="false">C47</f>
        <v> Небольшая облачность</v>
      </c>
      <c r="D86" s="100" t="str">
        <f aca="false">C66</f>
        <v>Гроза</v>
      </c>
      <c r="E86" s="100" t="s">
        <v>143</v>
      </c>
      <c r="F86" s="101" t="s">
        <v>144</v>
      </c>
      <c r="G86" s="3" t="s">
        <v>130</v>
      </c>
      <c r="H86" s="4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customFormat="false" ht="15" hidden="false" customHeight="false" outlineLevel="0" collapsed="false">
      <c r="B87" s="5"/>
      <c r="C87" s="93" t="str">
        <f aca="false">C48</f>
        <v> Переменная облачность</v>
      </c>
      <c r="D87" s="94" t="str">
        <f aca="false">C57</f>
        <v>Слабый дождь</v>
      </c>
      <c r="E87" s="94" t="s">
        <v>128</v>
      </c>
      <c r="F87" s="95" t="s">
        <v>129</v>
      </c>
      <c r="G87" s="3" t="s">
        <v>130</v>
      </c>
      <c r="H87" s="4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customFormat="false" ht="15" hidden="false" customHeight="false" outlineLevel="0" collapsed="false">
      <c r="B88" s="5"/>
      <c r="C88" s="96" t="str">
        <f aca="false">C48</f>
        <v> Переменная облачность</v>
      </c>
      <c r="D88" s="97" t="str">
        <f aca="false">C58</f>
        <v>Дождь</v>
      </c>
      <c r="E88" s="97" t="s">
        <v>131</v>
      </c>
      <c r="F88" s="98" t="s">
        <v>132</v>
      </c>
      <c r="G88" s="3" t="s">
        <v>130</v>
      </c>
      <c r="H88" s="4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customFormat="false" ht="15" hidden="false" customHeight="false" outlineLevel="0" collapsed="false">
      <c r="B89" s="5"/>
      <c r="C89" s="96" t="str">
        <f aca="false">C48</f>
        <v> Переменная облачность</v>
      </c>
      <c r="D89" s="97" t="str">
        <f aca="false">C59</f>
        <v>Сильный дождь</v>
      </c>
      <c r="E89" s="97" t="s">
        <v>133</v>
      </c>
      <c r="F89" s="98" t="s">
        <v>134</v>
      </c>
      <c r="G89" s="3" t="s">
        <v>130</v>
      </c>
      <c r="H89" s="4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customFormat="false" ht="15" hidden="false" customHeight="false" outlineLevel="0" collapsed="false">
      <c r="B90" s="5"/>
      <c r="C90" s="96" t="str">
        <f aca="false">C48</f>
        <v> Переменная облачность</v>
      </c>
      <c r="D90" s="97" t="str">
        <f aca="false">C60</f>
        <v>Слабый снег</v>
      </c>
      <c r="E90" s="97" t="s">
        <v>135</v>
      </c>
      <c r="F90" s="98" t="s">
        <v>136</v>
      </c>
      <c r="G90" s="3" t="s">
        <v>130</v>
      </c>
      <c r="H90" s="4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customFormat="false" ht="15" hidden="false" customHeight="false" outlineLevel="0" collapsed="false">
      <c r="B91" s="5"/>
      <c r="C91" s="96" t="str">
        <f aca="false">C48</f>
        <v> Переменная облачность</v>
      </c>
      <c r="D91" s="97" t="str">
        <f aca="false">C61</f>
        <v>Снег</v>
      </c>
      <c r="E91" s="97" t="s">
        <v>137</v>
      </c>
      <c r="F91" s="98" t="s">
        <v>138</v>
      </c>
      <c r="G91" s="3" t="s">
        <v>130</v>
      </c>
      <c r="H91" s="4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customFormat="false" ht="15" hidden="false" customHeight="false" outlineLevel="0" collapsed="false">
      <c r="B92" s="5"/>
      <c r="C92" s="96" t="str">
        <f aca="false">C48</f>
        <v> Переменная облачность</v>
      </c>
      <c r="D92" s="97" t="str">
        <f aca="false">C62</f>
        <v>Сильный снег</v>
      </c>
      <c r="E92" s="97" t="s">
        <v>139</v>
      </c>
      <c r="F92" s="98" t="s">
        <v>140</v>
      </c>
      <c r="G92" s="3" t="s">
        <v>130</v>
      </c>
      <c r="H92" s="4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</row>
    <row r="93" customFormat="false" ht="15" hidden="false" customHeight="false" outlineLevel="0" collapsed="false">
      <c r="B93" s="5"/>
      <c r="C93" s="96" t="str">
        <f aca="false">C48</f>
        <v> Переменная облачность</v>
      </c>
      <c r="D93" s="97" t="str">
        <f aca="false">C63</f>
        <v>Слабый снег с дождем</v>
      </c>
      <c r="E93" s="97" t="s">
        <v>141</v>
      </c>
      <c r="F93" s="98" t="s">
        <v>142</v>
      </c>
      <c r="G93" s="3" t="s">
        <v>130</v>
      </c>
      <c r="H93" s="4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</row>
    <row r="94" customFormat="false" ht="15" hidden="false" customHeight="false" outlineLevel="0" collapsed="false">
      <c r="B94" s="5"/>
      <c r="C94" s="96" t="str">
        <f aca="false">C48</f>
        <v> Переменная облачность</v>
      </c>
      <c r="D94" s="97" t="str">
        <f aca="false">C64</f>
        <v>Снег с дождем</v>
      </c>
      <c r="E94" s="97" t="s">
        <v>141</v>
      </c>
      <c r="F94" s="98" t="s">
        <v>142</v>
      </c>
      <c r="G94" s="3" t="s">
        <v>130</v>
      </c>
      <c r="H94" s="4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</row>
    <row r="95" customFormat="false" ht="15" hidden="false" customHeight="false" outlineLevel="0" collapsed="false">
      <c r="B95" s="5"/>
      <c r="C95" s="96" t="str">
        <f aca="false">C48</f>
        <v> Переменная облачность</v>
      </c>
      <c r="D95" s="97" t="str">
        <f aca="false">C65</f>
        <v>Сильный снег с дождем</v>
      </c>
      <c r="E95" s="97" t="s">
        <v>141</v>
      </c>
      <c r="F95" s="98" t="s">
        <v>142</v>
      </c>
      <c r="G95" s="3" t="s">
        <v>130</v>
      </c>
      <c r="H95" s="4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</row>
    <row r="96" customFormat="false" ht="15" hidden="false" customHeight="false" outlineLevel="0" collapsed="false">
      <c r="B96" s="5"/>
      <c r="C96" s="99" t="str">
        <f aca="false">C48</f>
        <v> Переменная облачность</v>
      </c>
      <c r="D96" s="100" t="str">
        <f aca="false">C66</f>
        <v>Гроза</v>
      </c>
      <c r="E96" s="100" t="s">
        <v>143</v>
      </c>
      <c r="F96" s="101" t="s">
        <v>144</v>
      </c>
      <c r="G96" s="3" t="s">
        <v>130</v>
      </c>
      <c r="H96" s="4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</row>
    <row r="97" customFormat="false" ht="15" hidden="false" customHeight="false" outlineLevel="0" collapsed="false">
      <c r="B97" s="5"/>
      <c r="C97" s="93" t="str">
        <f aca="false">C49</f>
        <v> Облачно с прояснениями</v>
      </c>
      <c r="D97" s="94" t="str">
        <f aca="false">C57</f>
        <v>Слабый дождь</v>
      </c>
      <c r="E97" s="94" t="s">
        <v>128</v>
      </c>
      <c r="F97" s="95" t="s">
        <v>129</v>
      </c>
      <c r="G97" s="3" t="s">
        <v>130</v>
      </c>
      <c r="H97" s="4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</row>
    <row r="98" customFormat="false" ht="15" hidden="false" customHeight="false" outlineLevel="0" collapsed="false">
      <c r="B98" s="5"/>
      <c r="C98" s="96" t="str">
        <f aca="false">C49</f>
        <v> Облачно с прояснениями</v>
      </c>
      <c r="D98" s="97" t="str">
        <f aca="false">C58</f>
        <v>Дождь</v>
      </c>
      <c r="E98" s="97" t="s">
        <v>131</v>
      </c>
      <c r="F98" s="98" t="s">
        <v>132</v>
      </c>
      <c r="G98" s="3" t="s">
        <v>130</v>
      </c>
      <c r="H98" s="4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</row>
    <row r="99" customFormat="false" ht="15" hidden="false" customHeight="false" outlineLevel="0" collapsed="false">
      <c r="B99" s="5"/>
      <c r="C99" s="96" t="str">
        <f aca="false">C49</f>
        <v> Облачно с прояснениями</v>
      </c>
      <c r="D99" s="97" t="str">
        <f aca="false">C59</f>
        <v>Сильный дождь</v>
      </c>
      <c r="E99" s="97" t="s">
        <v>133</v>
      </c>
      <c r="F99" s="98" t="s">
        <v>134</v>
      </c>
      <c r="G99" s="3" t="s">
        <v>130</v>
      </c>
      <c r="H99" s="4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</row>
    <row r="100" customFormat="false" ht="15" hidden="false" customHeight="false" outlineLevel="0" collapsed="false">
      <c r="B100" s="5"/>
      <c r="C100" s="96" t="str">
        <f aca="false">C49</f>
        <v> Облачно с прояснениями</v>
      </c>
      <c r="D100" s="97" t="str">
        <f aca="false">C60</f>
        <v>Слабый снег</v>
      </c>
      <c r="E100" s="97" t="s">
        <v>135</v>
      </c>
      <c r="F100" s="98" t="s">
        <v>136</v>
      </c>
      <c r="G100" s="3" t="s">
        <v>130</v>
      </c>
      <c r="H100" s="4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</row>
    <row r="101" customFormat="false" ht="15" hidden="false" customHeight="false" outlineLevel="0" collapsed="false">
      <c r="B101" s="5"/>
      <c r="C101" s="96" t="str">
        <f aca="false">C49</f>
        <v> Облачно с прояснениями</v>
      </c>
      <c r="D101" s="97" t="str">
        <f aca="false">C61</f>
        <v>Снег</v>
      </c>
      <c r="E101" s="97" t="s">
        <v>137</v>
      </c>
      <c r="F101" s="98" t="s">
        <v>138</v>
      </c>
      <c r="G101" s="3" t="s">
        <v>130</v>
      </c>
      <c r="H101" s="4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</row>
    <row r="102" customFormat="false" ht="15" hidden="false" customHeight="false" outlineLevel="0" collapsed="false">
      <c r="B102" s="5"/>
      <c r="C102" s="96" t="str">
        <f aca="false">C49</f>
        <v> Облачно с прояснениями</v>
      </c>
      <c r="D102" s="97" t="str">
        <f aca="false">C62</f>
        <v>Сильный снег</v>
      </c>
      <c r="E102" s="97" t="s">
        <v>139</v>
      </c>
      <c r="F102" s="98" t="s">
        <v>140</v>
      </c>
      <c r="G102" s="3" t="s">
        <v>130</v>
      </c>
      <c r="H102" s="4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</row>
    <row r="103" customFormat="false" ht="15" hidden="false" customHeight="false" outlineLevel="0" collapsed="false">
      <c r="B103" s="5"/>
      <c r="C103" s="96" t="str">
        <f aca="false">C49</f>
        <v> Облачно с прояснениями</v>
      </c>
      <c r="D103" s="97" t="str">
        <f aca="false">C63</f>
        <v>Слабый снег с дождем</v>
      </c>
      <c r="E103" s="97" t="s">
        <v>141</v>
      </c>
      <c r="F103" s="98" t="s">
        <v>142</v>
      </c>
      <c r="G103" s="3" t="s">
        <v>130</v>
      </c>
      <c r="H103" s="4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</row>
    <row r="104" customFormat="false" ht="15" hidden="false" customHeight="false" outlineLevel="0" collapsed="false">
      <c r="B104" s="5"/>
      <c r="C104" s="96" t="str">
        <f aca="false">C49</f>
        <v> Облачно с прояснениями</v>
      </c>
      <c r="D104" s="97" t="str">
        <f aca="false">C64</f>
        <v>Снег с дождем</v>
      </c>
      <c r="E104" s="97" t="s">
        <v>141</v>
      </c>
      <c r="F104" s="98" t="s">
        <v>142</v>
      </c>
      <c r="G104" s="3" t="s">
        <v>130</v>
      </c>
      <c r="H104" s="4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</row>
    <row r="105" customFormat="false" ht="15" hidden="false" customHeight="false" outlineLevel="0" collapsed="false">
      <c r="B105" s="5"/>
      <c r="C105" s="96" t="str">
        <f aca="false">C49</f>
        <v> Облачно с прояснениями</v>
      </c>
      <c r="D105" s="97" t="str">
        <f aca="false">C65</f>
        <v>Сильный снег с дождем</v>
      </c>
      <c r="E105" s="97" t="s">
        <v>141</v>
      </c>
      <c r="F105" s="98" t="s">
        <v>142</v>
      </c>
      <c r="G105" s="3" t="s">
        <v>130</v>
      </c>
      <c r="H105" s="4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</row>
    <row r="106" customFormat="false" ht="15" hidden="false" customHeight="false" outlineLevel="0" collapsed="false">
      <c r="B106" s="5"/>
      <c r="C106" s="99" t="str">
        <f aca="false">C49</f>
        <v> Облачно с прояснениями</v>
      </c>
      <c r="D106" s="100" t="str">
        <f aca="false">C66</f>
        <v>Гроза</v>
      </c>
      <c r="E106" s="100" t="s">
        <v>143</v>
      </c>
      <c r="F106" s="101" t="s">
        <v>144</v>
      </c>
      <c r="G106" s="3" t="s">
        <v>130</v>
      </c>
      <c r="H106" s="4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</row>
    <row r="107" customFormat="false" ht="15" hidden="false" customHeight="false" outlineLevel="0" collapsed="false">
      <c r="B107" s="5"/>
      <c r="C107" s="93" t="str">
        <f aca="false">C50</f>
        <v> Облачно</v>
      </c>
      <c r="D107" s="94" t="str">
        <f aca="false">C57</f>
        <v>Слабый дождь</v>
      </c>
      <c r="E107" s="94" t="s">
        <v>145</v>
      </c>
      <c r="F107" s="95" t="s">
        <v>145</v>
      </c>
      <c r="H107" s="4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</row>
    <row r="108" customFormat="false" ht="15" hidden="false" customHeight="false" outlineLevel="0" collapsed="false">
      <c r="B108" s="5"/>
      <c r="C108" s="96" t="str">
        <f aca="false">C50</f>
        <v> Облачно</v>
      </c>
      <c r="D108" s="97" t="str">
        <f aca="false">C58</f>
        <v>Дождь</v>
      </c>
      <c r="E108" s="97" t="s">
        <v>146</v>
      </c>
      <c r="F108" s="98" t="s">
        <v>146</v>
      </c>
      <c r="H108" s="4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02"/>
      <c r="BE108" s="102"/>
    </row>
    <row r="109" customFormat="false" ht="15" hidden="false" customHeight="false" outlineLevel="0" collapsed="false">
      <c r="B109" s="5"/>
      <c r="C109" s="96" t="str">
        <f aca="false">C50</f>
        <v> Облачно</v>
      </c>
      <c r="D109" s="97" t="str">
        <f aca="false">C59</f>
        <v>Сильный дождь</v>
      </c>
      <c r="E109" s="97" t="s">
        <v>147</v>
      </c>
      <c r="F109" s="98" t="s">
        <v>147</v>
      </c>
      <c r="H109" s="41"/>
      <c r="M109" s="1"/>
    </row>
    <row r="110" customFormat="false" ht="15" hidden="false" customHeight="false" outlineLevel="0" collapsed="false">
      <c r="B110" s="5"/>
      <c r="C110" s="96" t="str">
        <f aca="false">C50</f>
        <v> Облачно</v>
      </c>
      <c r="D110" s="97" t="str">
        <f aca="false">C60</f>
        <v>Слабый снег</v>
      </c>
      <c r="E110" s="97" t="s">
        <v>148</v>
      </c>
      <c r="F110" s="98" t="s">
        <v>148</v>
      </c>
      <c r="H110" s="41"/>
    </row>
    <row r="111" customFormat="false" ht="15" hidden="false" customHeight="false" outlineLevel="0" collapsed="false">
      <c r="B111" s="5"/>
      <c r="C111" s="96" t="str">
        <f aca="false">C50</f>
        <v> Облачно</v>
      </c>
      <c r="D111" s="97" t="str">
        <f aca="false">C61</f>
        <v>Снег</v>
      </c>
      <c r="E111" s="97" t="s">
        <v>149</v>
      </c>
      <c r="F111" s="98" t="s">
        <v>149</v>
      </c>
      <c r="H111" s="41"/>
    </row>
    <row r="112" customFormat="false" ht="15" hidden="false" customHeight="false" outlineLevel="0" collapsed="false">
      <c r="B112" s="5"/>
      <c r="C112" s="96" t="str">
        <f aca="false">C50</f>
        <v> Облачно</v>
      </c>
      <c r="D112" s="97" t="str">
        <f aca="false">C62</f>
        <v>Сильный снег</v>
      </c>
      <c r="E112" s="97" t="s">
        <v>150</v>
      </c>
      <c r="F112" s="98" t="s">
        <v>150</v>
      </c>
      <c r="H112" s="41"/>
    </row>
    <row r="113" customFormat="false" ht="15" hidden="false" customHeight="false" outlineLevel="0" collapsed="false">
      <c r="B113" s="5"/>
      <c r="C113" s="96" t="str">
        <f aca="false">C50</f>
        <v> Облачно</v>
      </c>
      <c r="D113" s="97" t="str">
        <f aca="false">C63</f>
        <v>Слабый снег с дождем</v>
      </c>
      <c r="E113" s="97" t="s">
        <v>151</v>
      </c>
      <c r="F113" s="98" t="s">
        <v>151</v>
      </c>
      <c r="H113" s="41"/>
    </row>
    <row r="114" customFormat="false" ht="15" hidden="false" customHeight="false" outlineLevel="0" collapsed="false">
      <c r="B114" s="5"/>
      <c r="C114" s="96" t="str">
        <f aca="false">C50</f>
        <v> Облачно</v>
      </c>
      <c r="D114" s="97" t="str">
        <f aca="false">C64</f>
        <v>Снег с дождем</v>
      </c>
      <c r="E114" s="97" t="s">
        <v>151</v>
      </c>
      <c r="F114" s="98" t="s">
        <v>151</v>
      </c>
      <c r="H114" s="41"/>
    </row>
    <row r="115" customFormat="false" ht="15" hidden="false" customHeight="false" outlineLevel="0" collapsed="false">
      <c r="B115" s="5"/>
      <c r="C115" s="96" t="str">
        <f aca="false">C50</f>
        <v> Облачно</v>
      </c>
      <c r="D115" s="97" t="str">
        <f aca="false">C65</f>
        <v>Сильный снег с дождем</v>
      </c>
      <c r="E115" s="97" t="s">
        <v>151</v>
      </c>
      <c r="F115" s="98" t="s">
        <v>151</v>
      </c>
      <c r="H115" s="41"/>
    </row>
    <row r="116" customFormat="false" ht="15" hidden="false" customHeight="false" outlineLevel="0" collapsed="false">
      <c r="B116" s="5"/>
      <c r="C116" s="99" t="str">
        <f aca="false">C50</f>
        <v> Облачно</v>
      </c>
      <c r="D116" s="100" t="str">
        <f aca="false">C66</f>
        <v>Гроза</v>
      </c>
      <c r="E116" s="100" t="s">
        <v>152</v>
      </c>
      <c r="F116" s="101" t="s">
        <v>152</v>
      </c>
      <c r="H116" s="41"/>
    </row>
    <row r="117" customFormat="false" ht="15" hidden="false" customHeight="false" outlineLevel="0" collapsed="false">
      <c r="B117" s="61"/>
      <c r="C117" s="62"/>
      <c r="D117" s="62"/>
      <c r="E117" s="62"/>
      <c r="F117" s="62"/>
      <c r="G117" s="62"/>
      <c r="H117" s="63"/>
    </row>
    <row r="118" customFormat="false" ht="15.75" hidden="false" customHeight="false" outlineLevel="0" collapsed="false"/>
  </sheetData>
  <mergeCells count="16">
    <mergeCell ref="C3:F4"/>
    <mergeCell ref="M7:N7"/>
    <mergeCell ref="M10:N10"/>
    <mergeCell ref="M11:N11"/>
    <mergeCell ref="M12:N12"/>
    <mergeCell ref="M16:O16"/>
    <mergeCell ref="M17:O17"/>
    <mergeCell ref="C18:F19"/>
    <mergeCell ref="M19:O19"/>
    <mergeCell ref="M23:O23"/>
    <mergeCell ref="M24:O24"/>
    <mergeCell ref="M26:O26"/>
    <mergeCell ref="C30:F31"/>
    <mergeCell ref="C43:F44"/>
    <mergeCell ref="C53:F54"/>
    <mergeCell ref="C69:F70"/>
  </mergeCells>
  <hyperlinks>
    <hyperlink ref="M7" r:id="rId1" display="c:\WORK_2020\POGODA\"/>
    <hyperlink ref="M10" r:id="rId2" display="c:\WORK_2020\POGODA\"/>
    <hyperlink ref="M11" r:id="rId3" display="c:\WORK_2020\POGODA\"/>
    <hyperlink ref="M12" r:id="rId4" display="c:\WORK_2020\POGODA\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Z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8" activeCellId="0" sqref="G18"/>
    </sheetView>
  </sheetViews>
  <sheetFormatPr defaultColWidth="9.14453125" defaultRowHeight="15" zeroHeight="false" outlineLevelRow="0" outlineLevelCol="0"/>
  <cols>
    <col collapsed="false" customWidth="true" hidden="false" outlineLevel="0" max="1" min="1" style="3" width="1.71"/>
    <col collapsed="false" customWidth="true" hidden="false" outlineLevel="0" max="2" min="2" style="3" width="20.72"/>
    <col collapsed="false" customWidth="true" hidden="false" outlineLevel="0" max="3" min="3" style="3" width="40.72"/>
    <col collapsed="false" customWidth="true" hidden="false" outlineLevel="0" max="5" min="4" style="3" width="1.71"/>
    <col collapsed="false" customWidth="true" hidden="false" outlineLevel="0" max="12" min="6" style="3" width="18.7"/>
    <col collapsed="false" customWidth="true" hidden="false" outlineLevel="0" max="14" min="13" style="103" width="18.7"/>
    <col collapsed="false" customWidth="true" hidden="false" outlineLevel="0" max="52" min="15" style="3" width="18.7"/>
    <col collapsed="false" customWidth="false" hidden="false" outlineLevel="0" max="16384" min="53" style="3" width="9.14"/>
  </cols>
  <sheetData>
    <row r="2" customFormat="false" ht="15.75" hidden="false" customHeight="true" outlineLevel="0" collapsed="false"/>
    <row r="3" customFormat="false" ht="15" hidden="false" customHeight="false" outlineLevel="0" collapsed="false">
      <c r="B3" s="104" t="s">
        <v>153</v>
      </c>
      <c r="C3" s="105" t="str">
        <f aca="false">METEO!L2</f>
        <v>4.10.2024</v>
      </c>
      <c r="F3" s="106"/>
      <c r="G3" s="107" t="str">
        <f aca="false">C17</f>
        <v>День, 4.10</v>
      </c>
      <c r="H3" s="31"/>
      <c r="I3" s="31"/>
      <c r="J3" s="31"/>
      <c r="K3" s="31"/>
      <c r="L3" s="31"/>
      <c r="M3" s="108"/>
      <c r="N3" s="108"/>
      <c r="O3" s="39"/>
      <c r="P3" s="107" t="str">
        <f aca="false">C18</f>
        <v>Ночь, 4.10</v>
      </c>
      <c r="Q3" s="31"/>
      <c r="R3" s="31"/>
      <c r="S3" s="31"/>
      <c r="T3" s="31"/>
      <c r="U3" s="31"/>
      <c r="V3" s="108"/>
      <c r="W3" s="108"/>
      <c r="X3" s="39"/>
      <c r="Y3" s="107" t="str">
        <f aca="false">C19</f>
        <v>День, 5.10</v>
      </c>
      <c r="Z3" s="31"/>
      <c r="AA3" s="31"/>
      <c r="AB3" s="31"/>
      <c r="AC3" s="31"/>
      <c r="AD3" s="31"/>
      <c r="AE3" s="108"/>
      <c r="AF3" s="108"/>
      <c r="AG3" s="39"/>
      <c r="AH3" s="107" t="str">
        <f aca="false">C20</f>
        <v>Ночь, 5.10</v>
      </c>
      <c r="AI3" s="31"/>
      <c r="AJ3" s="31"/>
      <c r="AK3" s="31"/>
      <c r="AL3" s="31"/>
      <c r="AM3" s="31"/>
      <c r="AN3" s="108"/>
      <c r="AO3" s="108"/>
      <c r="AP3" s="39"/>
    </row>
    <row r="4" customFormat="false" ht="15" hidden="false" customHeight="false" outlineLevel="0" collapsed="false">
      <c r="B4" s="109" t="s">
        <v>154</v>
      </c>
      <c r="C4" s="110" t="str">
        <f aca="false">METEO!L25</f>
        <v>5.10.2024</v>
      </c>
      <c r="G4" s="5"/>
      <c r="O4" s="41"/>
      <c r="P4" s="5"/>
      <c r="V4" s="103"/>
      <c r="W4" s="103"/>
      <c r="X4" s="41"/>
      <c r="Y4" s="5"/>
      <c r="AE4" s="103"/>
      <c r="AF4" s="103"/>
      <c r="AG4" s="41"/>
      <c r="AH4" s="5"/>
      <c r="AN4" s="103"/>
      <c r="AO4" s="103"/>
      <c r="AP4" s="41"/>
    </row>
    <row r="5" customFormat="false" ht="15" hidden="false" customHeight="false" outlineLevel="0" collapsed="false">
      <c r="B5" s="104" t="s">
        <v>155</v>
      </c>
      <c r="C5" s="111" t="n">
        <f aca="false">DATEVALUE(C3)</f>
        <v>45569</v>
      </c>
      <c r="F5" s="47"/>
      <c r="G5" s="112" t="s">
        <v>156</v>
      </c>
      <c r="H5" s="113" t="s">
        <v>157</v>
      </c>
      <c r="I5" s="113" t="s">
        <v>158</v>
      </c>
      <c r="J5" s="113" t="s">
        <v>159</v>
      </c>
      <c r="L5" s="51" t="s">
        <v>160</v>
      </c>
      <c r="M5" s="114" t="s">
        <v>161</v>
      </c>
      <c r="N5" s="114" t="s">
        <v>162</v>
      </c>
      <c r="O5" s="41"/>
      <c r="P5" s="112" t="s">
        <v>156</v>
      </c>
      <c r="Q5" s="113" t="s">
        <v>157</v>
      </c>
      <c r="R5" s="113" t="s">
        <v>158</v>
      </c>
      <c r="S5" s="113" t="s">
        <v>159</v>
      </c>
      <c r="U5" s="51" t="s">
        <v>160</v>
      </c>
      <c r="V5" s="114" t="s">
        <v>161</v>
      </c>
      <c r="W5" s="114" t="s">
        <v>162</v>
      </c>
      <c r="X5" s="41"/>
      <c r="Y5" s="112" t="s">
        <v>156</v>
      </c>
      <c r="Z5" s="113" t="s">
        <v>157</v>
      </c>
      <c r="AA5" s="113" t="s">
        <v>158</v>
      </c>
      <c r="AB5" s="113" t="s">
        <v>159</v>
      </c>
      <c r="AD5" s="51" t="s">
        <v>160</v>
      </c>
      <c r="AE5" s="114" t="s">
        <v>161</v>
      </c>
      <c r="AF5" s="114" t="s">
        <v>162</v>
      </c>
      <c r="AG5" s="41"/>
      <c r="AH5" s="112" t="s">
        <v>156</v>
      </c>
      <c r="AI5" s="113" t="s">
        <v>157</v>
      </c>
      <c r="AJ5" s="113" t="s">
        <v>158</v>
      </c>
      <c r="AK5" s="113" t="s">
        <v>159</v>
      </c>
      <c r="AM5" s="51" t="s">
        <v>160</v>
      </c>
      <c r="AN5" s="114" t="s">
        <v>161</v>
      </c>
      <c r="AO5" s="114" t="s">
        <v>162</v>
      </c>
      <c r="AP5" s="41"/>
    </row>
    <row r="6" customFormat="false" ht="15" hidden="false" customHeight="false" outlineLevel="0" collapsed="false">
      <c r="B6" s="109" t="s">
        <v>163</v>
      </c>
      <c r="C6" s="115" t="n">
        <f aca="false">DATEVALUE(C4)</f>
        <v>45570</v>
      </c>
      <c r="F6" s="116" t="str">
        <f aca="false">Service1!C6</f>
        <v>Омск</v>
      </c>
      <c r="G6" s="117" t="str">
        <f aca="false">METEO!T6</f>
        <v>Юго-Западный</v>
      </c>
      <c r="H6" s="113" t="str">
        <f aca="false">VLOOKUP(G6,Таблица1[#All],2,FALSE())</f>
        <v>ветер ЮЗ</v>
      </c>
      <c r="I6" s="113" t="str">
        <f aca="false">CONCATENATE(METEO!AL6," м/с")</f>
        <v>3 м/с</v>
      </c>
      <c r="J6" s="118" t="str">
        <f aca="false">CONCATENATE(TEXT(METEO!BC6,"#")," мм")</f>
        <v>760 мм</v>
      </c>
      <c r="L6" s="51"/>
      <c r="M6" s="114"/>
      <c r="N6" s="114"/>
      <c r="O6" s="41"/>
      <c r="P6" s="117" t="str">
        <f aca="false">METEO!BV6</f>
        <v>Южный</v>
      </c>
      <c r="Q6" s="113" t="str">
        <f aca="false">VLOOKUP(P6,Таблица1[#All],2,FALSE())</f>
        <v>ветер Ю</v>
      </c>
      <c r="R6" s="113" t="str">
        <f aca="false">CONCATENATE(METEO!CN6," м/с")</f>
        <v>3 м/с</v>
      </c>
      <c r="S6" s="118" t="str">
        <f aca="false">CONCATENATE(TEXT(METEO!DE6,"#")," мм")</f>
        <v>758 мм</v>
      </c>
      <c r="U6" s="51"/>
      <c r="V6" s="114"/>
      <c r="W6" s="114"/>
      <c r="X6" s="41"/>
      <c r="Y6" s="117" t="str">
        <f aca="false">METEO!T29</f>
        <v>Южный</v>
      </c>
      <c r="Z6" s="113" t="str">
        <f aca="false">VLOOKUP(Y6,Таблица1[#All],2,FALSE())</f>
        <v>ветер Ю</v>
      </c>
      <c r="AA6" s="113" t="str">
        <f aca="false">CONCATENATE(METEO!AL29," м/с")</f>
        <v>2 м/с</v>
      </c>
      <c r="AB6" s="118" t="str">
        <f aca="false">CONCATENATE(TEXT(METEO!DE6,"#")," мм")</f>
        <v>758 мм</v>
      </c>
      <c r="AD6" s="51"/>
      <c r="AE6" s="114"/>
      <c r="AF6" s="114"/>
      <c r="AG6" s="41"/>
      <c r="AH6" s="117" t="str">
        <f aca="false">METEO!BV29</f>
        <v>Южный</v>
      </c>
      <c r="AI6" s="113" t="str">
        <f aca="false">VLOOKUP(AH6,Таблица1[#All],2,FALSE())</f>
        <v>ветер Ю</v>
      </c>
      <c r="AJ6" s="113" t="str">
        <f aca="false">CONCATENATE(METEO!CN29," м/с")</f>
        <v>2 м/с</v>
      </c>
      <c r="AK6" s="118" t="str">
        <f aca="false">CONCATENATE(TEXT(METEO!DE29,"#")," мм")</f>
        <v>750 мм</v>
      </c>
      <c r="AM6" s="51"/>
      <c r="AN6" s="114"/>
      <c r="AO6" s="114"/>
      <c r="AP6" s="41"/>
    </row>
    <row r="7" customFormat="false" ht="15" hidden="false" customHeight="false" outlineLevel="0" collapsed="false">
      <c r="B7" s="104" t="s">
        <v>164</v>
      </c>
      <c r="C7" s="111" t="n">
        <f aca="false">WEEKDAY(C5,3)</f>
        <v>4</v>
      </c>
      <c r="F7" s="17"/>
      <c r="G7" s="5"/>
      <c r="M7" s="119"/>
      <c r="O7" s="41"/>
      <c r="P7" s="5"/>
      <c r="V7" s="119"/>
      <c r="W7" s="103"/>
      <c r="X7" s="41"/>
      <c r="Y7" s="5"/>
      <c r="AE7" s="119"/>
      <c r="AF7" s="103"/>
      <c r="AG7" s="41"/>
      <c r="AH7" s="5"/>
      <c r="AN7" s="119"/>
      <c r="AO7" s="103"/>
      <c r="AP7" s="41"/>
    </row>
    <row r="8" customFormat="false" ht="15" hidden="false" customHeight="false" outlineLevel="0" collapsed="false">
      <c r="B8" s="109" t="s">
        <v>165</v>
      </c>
      <c r="C8" s="115" t="n">
        <f aca="false">WEEKDAY(C6,3)</f>
        <v>5</v>
      </c>
      <c r="F8" s="120"/>
      <c r="G8" s="121" t="s">
        <v>166</v>
      </c>
      <c r="H8" s="122" t="s">
        <v>167</v>
      </c>
      <c r="I8" s="123" t="s">
        <v>168</v>
      </c>
      <c r="J8" s="123" t="s">
        <v>169</v>
      </c>
      <c r="K8" s="124" t="s">
        <v>170</v>
      </c>
      <c r="L8" s="124" t="s">
        <v>171</v>
      </c>
      <c r="M8" s="125" t="s">
        <v>118</v>
      </c>
      <c r="N8" s="125" t="s">
        <v>13</v>
      </c>
      <c r="O8" s="126" t="s">
        <v>172</v>
      </c>
      <c r="P8" s="121" t="s">
        <v>166</v>
      </c>
      <c r="Q8" s="122" t="s">
        <v>167</v>
      </c>
      <c r="R8" s="123" t="s">
        <v>168</v>
      </c>
      <c r="S8" s="123" t="s">
        <v>169</v>
      </c>
      <c r="T8" s="124" t="s">
        <v>170</v>
      </c>
      <c r="U8" s="124" t="s">
        <v>171</v>
      </c>
      <c r="V8" s="125" t="s">
        <v>118</v>
      </c>
      <c r="W8" s="125" t="s">
        <v>13</v>
      </c>
      <c r="X8" s="126" t="s">
        <v>172</v>
      </c>
      <c r="Y8" s="121" t="s">
        <v>166</v>
      </c>
      <c r="Z8" s="122" t="s">
        <v>167</v>
      </c>
      <c r="AA8" s="123" t="s">
        <v>168</v>
      </c>
      <c r="AB8" s="123" t="s">
        <v>169</v>
      </c>
      <c r="AC8" s="124" t="s">
        <v>170</v>
      </c>
      <c r="AD8" s="124" t="s">
        <v>171</v>
      </c>
      <c r="AE8" s="125" t="s">
        <v>118</v>
      </c>
      <c r="AF8" s="125" t="s">
        <v>13</v>
      </c>
      <c r="AG8" s="126" t="s">
        <v>172</v>
      </c>
      <c r="AH8" s="121" t="s">
        <v>166</v>
      </c>
      <c r="AI8" s="122" t="s">
        <v>167</v>
      </c>
      <c r="AJ8" s="123" t="s">
        <v>168</v>
      </c>
      <c r="AK8" s="123" t="s">
        <v>169</v>
      </c>
      <c r="AL8" s="124" t="s">
        <v>173</v>
      </c>
      <c r="AM8" s="124" t="s">
        <v>171</v>
      </c>
      <c r="AN8" s="125" t="s">
        <v>118</v>
      </c>
      <c r="AO8" s="125" t="s">
        <v>13</v>
      </c>
      <c r="AP8" s="126" t="s">
        <v>172</v>
      </c>
      <c r="AQ8" s="127" t="s">
        <v>174</v>
      </c>
    </row>
    <row r="9" customFormat="false" ht="15" hidden="false" customHeight="false" outlineLevel="0" collapsed="false">
      <c r="B9" s="128" t="s">
        <v>175</v>
      </c>
      <c r="C9" s="111" t="str">
        <f aca="false">PROPER(VLOOKUP(C7,Таблица4[],2,FALSE()))</f>
        <v>Пятница</v>
      </c>
      <c r="F9" s="129" t="str">
        <f aca="false">Service1!C6</f>
        <v>Омск</v>
      </c>
      <c r="G9" s="130" t="n">
        <f aca="false">METEO!T8</f>
        <v>16</v>
      </c>
      <c r="H9" s="122" t="str">
        <f aca="false">CONCATENATE(TEXT(G9,"+# ##0;-# ##0;0"),"°")</f>
        <v>+16°</v>
      </c>
      <c r="I9" s="131" t="n">
        <f aca="false">G9+800</f>
        <v>816</v>
      </c>
      <c r="J9" s="131" t="n">
        <f aca="false">I9-MIN(I9,R9,AA9,AJ9)</f>
        <v>15</v>
      </c>
      <c r="K9" s="132" t="n">
        <f aca="false">((800/MAX(J9,S9,AB9,AK9))*J9)</f>
        <v>800</v>
      </c>
      <c r="L9" s="124" t="n">
        <f aca="false">ROUND(K9,0)</f>
        <v>800</v>
      </c>
      <c r="M9" s="125" t="str">
        <f aca="false">METEO!Z8</f>
        <v> Облачно</v>
      </c>
      <c r="N9" s="125" t="str">
        <f aca="false">METEO!AW8</f>
        <v>Без осадков</v>
      </c>
      <c r="O9" s="126" t="str">
        <f aca="false" t="array" ref="O9:O9">INDEX(Service1!E72:E116,MATCH(Service2!M9&amp;Service2!N9,Service1!C72:C116&amp;Service1!D72:D116,0))</f>
        <v>iconClouds.mov</v>
      </c>
      <c r="P9" s="130" t="n">
        <f aca="false">METEO!BV8</f>
        <v>1</v>
      </c>
      <c r="Q9" s="122" t="str">
        <f aca="false">CONCATENATE(TEXT(P9,"+# ##0;-# ##0;0"),"°")</f>
        <v>+1°</v>
      </c>
      <c r="R9" s="131" t="n">
        <f aca="false">P9+800</f>
        <v>801</v>
      </c>
      <c r="S9" s="131" t="n">
        <f aca="false">R9-MIN(I9,R9,AA9,AJ9)</f>
        <v>0</v>
      </c>
      <c r="T9" s="132" t="n">
        <f aca="false">((800/MAX(J9,S9,AB9,AK9))*S9)</f>
        <v>0</v>
      </c>
      <c r="U9" s="124" t="n">
        <f aca="false">ROUND(T9,0)</f>
        <v>0</v>
      </c>
      <c r="V9" s="125" t="str">
        <f aca="false">METEO!CB8</f>
        <v> Облачно с прояснениями</v>
      </c>
      <c r="W9" s="125" t="str">
        <f aca="false">METEO!CY8</f>
        <v>Без осадков</v>
      </c>
      <c r="X9" s="126" t="str">
        <f aca="false" t="array" ref="X9:X9">INDEX(Service1!F72:F116,MATCH(Service2!V9&amp;Service2!W9,Service1!C72:C116&amp;Service1!D72:D116,0))</f>
        <v>iconCloudMoon.mov</v>
      </c>
      <c r="Y9" s="130" t="n">
        <f aca="false">METEO!T31</f>
        <v>16</v>
      </c>
      <c r="Z9" s="122" t="str">
        <f aca="false">CONCATENATE(TEXT(Y9,"+# ##0;-# ##0;0"),"°")</f>
        <v>+16°</v>
      </c>
      <c r="AA9" s="131" t="n">
        <f aca="false">Y9+800</f>
        <v>816</v>
      </c>
      <c r="AB9" s="133" t="n">
        <f aca="false">AA9-MIN(I9,R9,AA9,AJ9)</f>
        <v>15</v>
      </c>
      <c r="AC9" s="132" t="n">
        <f aca="false">((800/MAX(J9,S9,AB9,AK9))*AB9)</f>
        <v>800</v>
      </c>
      <c r="AD9" s="124" t="n">
        <f aca="false">ROUND(AC9,0)</f>
        <v>800</v>
      </c>
      <c r="AE9" s="125" t="str">
        <f aca="false">METEO!Z31</f>
        <v> Ясно</v>
      </c>
      <c r="AF9" s="125" t="str">
        <f aca="false">METEO!AW31</f>
        <v>Без осадков</v>
      </c>
      <c r="AG9" s="126" t="str">
        <f aca="false" t="array" ref="AG9:AG9">INDEX(Service1!E72:E116,MATCH(Service2!AE9&amp;Service2!AF9,Service1!C72:C116&amp;Service1!D72:D116,0))</f>
        <v>iconSun.mov</v>
      </c>
      <c r="AH9" s="130" t="n">
        <f aca="false">METEO!BV31</f>
        <v>1</v>
      </c>
      <c r="AI9" s="122" t="str">
        <f aca="false">CONCATENATE(TEXT(AH9,"+# ##0;-# ##0;0"),"°")</f>
        <v>+1°</v>
      </c>
      <c r="AJ9" s="131" t="n">
        <f aca="false">AH9+800</f>
        <v>801</v>
      </c>
      <c r="AK9" s="131" t="n">
        <f aca="false">AJ9-MIN(I9,R9,AA9,AJ9)</f>
        <v>0</v>
      </c>
      <c r="AL9" s="132" t="n">
        <f aca="false">((800/MAX(J9,S9,AB9,AK9))*AK9)</f>
        <v>0</v>
      </c>
      <c r="AM9" s="124" t="n">
        <f aca="false">ROUND(AL9,0)</f>
        <v>0</v>
      </c>
      <c r="AN9" s="125" t="str">
        <f aca="false">METEO!CB31</f>
        <v> Ясно</v>
      </c>
      <c r="AO9" s="125" t="str">
        <f aca="false">METEO!CY31</f>
        <v>Без осадков</v>
      </c>
      <c r="AP9" s="126" t="str">
        <f aca="false" t="array" ref="AP9:AP9">INDEX(Service1!F72:F116,MATCH(Service2!AN9&amp;Service2!AO9,Service1!C72:C116&amp;Service1!D72:D116,0))</f>
        <v>iconMoon.mov</v>
      </c>
      <c r="AQ9" s="134" t="str">
        <f aca="false">CONCATENATE(L9,", ",U9,", ",AD9,", ",AM9)</f>
        <v>800, 0, 800, 0</v>
      </c>
    </row>
    <row r="10" customFormat="false" ht="15" hidden="false" customHeight="false" outlineLevel="0" collapsed="false">
      <c r="B10" s="135" t="s">
        <v>176</v>
      </c>
      <c r="C10" s="115" t="str">
        <f aca="false">PROPER(VLOOKUP(C8,Таблица4[],2,FALSE()))</f>
        <v>Суббота</v>
      </c>
      <c r="F10" s="116" t="str">
        <f aca="false">Service1!C9</f>
        <v>Усть-Ишим</v>
      </c>
      <c r="G10" s="130" t="n">
        <f aca="false">METEO!T9</f>
        <v>14</v>
      </c>
      <c r="H10" s="122" t="str">
        <f aca="false">CONCATENATE(TEXT(G10,"+# ##0;-# ##0;0"),"°")</f>
        <v>+14°</v>
      </c>
      <c r="I10" s="131" t="n">
        <f aca="false">G10+800</f>
        <v>814</v>
      </c>
      <c r="J10" s="131" t="n">
        <f aca="false">I10-MIN(I10,R10,AA10,AJ10)</f>
        <v>11</v>
      </c>
      <c r="K10" s="132" t="n">
        <f aca="false">((800/MAX(J10,S10,AB10,AK10))*J10)</f>
        <v>800</v>
      </c>
      <c r="L10" s="124" t="n">
        <f aca="false">ROUND(K10,0)</f>
        <v>800</v>
      </c>
      <c r="M10" s="125" t="str">
        <f aca="false">METEO!Z9</f>
        <v> Облачно</v>
      </c>
      <c r="N10" s="125" t="str">
        <f aca="false">METEO!AW9</f>
        <v>Без осадков</v>
      </c>
      <c r="O10" s="126" t="str">
        <f aca="false" t="array" ref="O10:O10">INDEX(Service1!E72:E116,MATCH(Service2!M10&amp;Service2!N10,Service1!C72:C116&amp;Service1!D72:D116,0))</f>
        <v>iconClouds.mov</v>
      </c>
      <c r="P10" s="130" t="n">
        <f aca="false">METEO!BV9</f>
        <v>3</v>
      </c>
      <c r="Q10" s="122" t="str">
        <f aca="false">CONCATENATE(TEXT(P10,"+# ##0;-# ##0;0"),"°")</f>
        <v>+3°</v>
      </c>
      <c r="R10" s="131" t="n">
        <f aca="false">P10+800</f>
        <v>803</v>
      </c>
      <c r="S10" s="131" t="n">
        <f aca="false">R10-MIN(I10,R10,AA10,AJ10)</f>
        <v>0</v>
      </c>
      <c r="T10" s="132" t="n">
        <f aca="false">((800/MAX(J10,S10,AB10,AK10))*S10)</f>
        <v>0</v>
      </c>
      <c r="U10" s="124" t="n">
        <f aca="false">ROUND(T10,0)</f>
        <v>0</v>
      </c>
      <c r="V10" s="125" t="str">
        <f aca="false">METEO!CB9</f>
        <v> Облачно</v>
      </c>
      <c r="W10" s="125" t="str">
        <f aca="false">METEO!CY9</f>
        <v>Без осадков</v>
      </c>
      <c r="X10" s="126" t="str">
        <f aca="false" t="array" ref="X10:X10">INDEX(Service1!F72:F116,MATCH(Service2!V10&amp;Service2!W10,Service1!C72:C116&amp;Service1!D72:D116,0))</f>
        <v>iconClouds.mov</v>
      </c>
      <c r="Y10" s="130" t="n">
        <f aca="false">METEO!T32</f>
        <v>14</v>
      </c>
      <c r="Z10" s="122" t="str">
        <f aca="false">CONCATENATE(TEXT(Y10,"+# ##0;-# ##0;0"),"°")</f>
        <v>+14°</v>
      </c>
      <c r="AA10" s="131" t="n">
        <f aca="false">Y10+800</f>
        <v>814</v>
      </c>
      <c r="AB10" s="133" t="n">
        <f aca="false">AA10-MIN(I10,R10,AA10,AJ10)</f>
        <v>11</v>
      </c>
      <c r="AC10" s="132" t="n">
        <f aca="false">((800/MAX(J10,S10,AB10,AK10))*AB10)</f>
        <v>800</v>
      </c>
      <c r="AD10" s="124" t="n">
        <f aca="false">ROUND(AC10,0)</f>
        <v>800</v>
      </c>
      <c r="AE10" s="125" t="str">
        <f aca="false">METEO!Z32</f>
        <v> Облачно с прояснениями</v>
      </c>
      <c r="AF10" s="125" t="str">
        <f aca="false">METEO!AW32</f>
        <v>Без осадков</v>
      </c>
      <c r="AG10" s="126" t="str">
        <f aca="false" t="array" ref="AG10:AG10">INDEX(Service1!E72:E116,MATCH(Service2!AE10&amp;Service2!AF10,Service1!C72:C116&amp;Service1!D72:D116,0))</f>
        <v>iconCloudSun.mov</v>
      </c>
      <c r="AH10" s="130" t="n">
        <f aca="false">METEO!BV32</f>
        <v>3</v>
      </c>
      <c r="AI10" s="122" t="str">
        <f aca="false">CONCATENATE(TEXT(AH10,"+# ##0;-# ##0;0"),"°")</f>
        <v>+3°</v>
      </c>
      <c r="AJ10" s="131" t="n">
        <f aca="false">AH10+800</f>
        <v>803</v>
      </c>
      <c r="AK10" s="131" t="n">
        <f aca="false">AJ10-MIN(I10,R10,AA10,AJ10)</f>
        <v>0</v>
      </c>
      <c r="AL10" s="132" t="n">
        <f aca="false">((800/MAX(J10,S10,AB10,AK10))*AK10)</f>
        <v>0</v>
      </c>
      <c r="AM10" s="124" t="n">
        <f aca="false">ROUND(AL10,0)</f>
        <v>0</v>
      </c>
      <c r="AN10" s="125" t="str">
        <f aca="false">METEO!CB32</f>
        <v> Облачно с прояснениями</v>
      </c>
      <c r="AO10" s="125" t="str">
        <f aca="false">METEO!CY32</f>
        <v>Без осадков</v>
      </c>
      <c r="AP10" s="126" t="str">
        <f aca="false" t="array" ref="AP10:AP10">INDEX(Service1!F72:F116,MATCH(Service2!AN10&amp;Service2!AO10,Service1!C72:C116&amp;Service1!D72:D116,0))</f>
        <v>iconCloudMoon.mov</v>
      </c>
      <c r="AQ10" s="134" t="str">
        <f aca="false">CONCATENATE(L10,", ",U10,", ",AD10,", ",AM10)</f>
        <v>800, 0, 800, 0</v>
      </c>
    </row>
    <row r="11" customFormat="false" ht="15" hidden="false" customHeight="false" outlineLevel="0" collapsed="false">
      <c r="B11" s="136" t="s">
        <v>177</v>
      </c>
      <c r="C11" s="137" t="str">
        <f aca="false">CONCATENATE("Прогноз на ",VLOOKUP(C7,Таблица4[],3,FALSE()))</f>
        <v>Прогноз на пятницу</v>
      </c>
      <c r="F11" s="116" t="str">
        <f aca="false">Service1!C10</f>
        <v>Тара</v>
      </c>
      <c r="G11" s="130" t="n">
        <f aca="false">METEO!T10</f>
        <v>15</v>
      </c>
      <c r="H11" s="122" t="str">
        <f aca="false">CONCATENATE(TEXT(G11,"+# ##0;-# ##0;0"),"°")</f>
        <v>+15°</v>
      </c>
      <c r="I11" s="131" t="n">
        <f aca="false">G11+800</f>
        <v>815</v>
      </c>
      <c r="J11" s="131" t="n">
        <f aca="false">I11-MIN(I11,R11,AA11,AJ11)</f>
        <v>13</v>
      </c>
      <c r="K11" s="132" t="n">
        <f aca="false">((800/MAX(J11,S11,AB11,AK11))*J11)</f>
        <v>800</v>
      </c>
      <c r="L11" s="124" t="n">
        <f aca="false">ROUND(K11,0)</f>
        <v>800</v>
      </c>
      <c r="M11" s="125" t="str">
        <f aca="false">METEO!Z10</f>
        <v> Облачно</v>
      </c>
      <c r="N11" s="125" t="str">
        <f aca="false">METEO!AW10</f>
        <v>Без осадков</v>
      </c>
      <c r="O11" s="126" t="str">
        <f aca="false" t="array" ref="O11:O11">INDEX(Service1!E72:E116,MATCH(Service2!M11&amp;Service2!N11,Service1!C72:C116&amp;Service1!D72:D116,0))</f>
        <v>iconClouds.mov</v>
      </c>
      <c r="P11" s="130" t="n">
        <f aca="false">METEO!BV10</f>
        <v>3</v>
      </c>
      <c r="Q11" s="122" t="str">
        <f aca="false">CONCATENATE(TEXT(P11,"+# ##0;-# ##0;0"),"°")</f>
        <v>+3°</v>
      </c>
      <c r="R11" s="131" t="n">
        <f aca="false">P11+800</f>
        <v>803</v>
      </c>
      <c r="S11" s="131" t="n">
        <f aca="false">R11-MIN(I11,R11,AA11,AJ11)</f>
        <v>1</v>
      </c>
      <c r="T11" s="132" t="n">
        <f aca="false">((800/MAX(J11,S11,AB11,AK11))*S11)</f>
        <v>61.5384615384615</v>
      </c>
      <c r="U11" s="124" t="n">
        <f aca="false">ROUND(T11,0)</f>
        <v>62</v>
      </c>
      <c r="V11" s="125" t="str">
        <f aca="false">METEO!CB10</f>
        <v> Облачно</v>
      </c>
      <c r="W11" s="125" t="str">
        <f aca="false">METEO!CY10</f>
        <v>Без осадков</v>
      </c>
      <c r="X11" s="126" t="str">
        <f aca="false" t="array" ref="X11:X11">INDEX(Service1!F72:F116,MATCH(Service2!V11&amp;Service2!W11,Service1!C72:C116&amp;Service1!D72:D116,0))</f>
        <v>iconClouds.mov</v>
      </c>
      <c r="Y11" s="130" t="n">
        <f aca="false">METEO!T33</f>
        <v>15</v>
      </c>
      <c r="Z11" s="122" t="str">
        <f aca="false">CONCATENATE(TEXT(Y11,"+# ##0;-# ##0;0"),"°")</f>
        <v>+15°</v>
      </c>
      <c r="AA11" s="131" t="n">
        <f aca="false">Y11+800</f>
        <v>815</v>
      </c>
      <c r="AB11" s="133" t="n">
        <f aca="false">AA11-MIN(I11,R11,AA11,AJ11)</f>
        <v>13</v>
      </c>
      <c r="AC11" s="132" t="n">
        <f aca="false">((800/MAX(J11,S11,AB11,AK11))*AB11)</f>
        <v>800</v>
      </c>
      <c r="AD11" s="124" t="n">
        <f aca="false">ROUND(AC11,0)</f>
        <v>800</v>
      </c>
      <c r="AE11" s="125" t="str">
        <f aca="false">METEO!Z33</f>
        <v> Облачно с прояснениями</v>
      </c>
      <c r="AF11" s="125" t="str">
        <f aca="false">METEO!AW33</f>
        <v>Без осадков</v>
      </c>
      <c r="AG11" s="126" t="str">
        <f aca="false" t="array" ref="AG11:AG11">INDEX(Service1!E72:E116,MATCH(Service2!AE11&amp;Service2!AF11,Service1!C72:C116&amp;Service1!D72:D116,0))</f>
        <v>iconCloudSun.mov</v>
      </c>
      <c r="AH11" s="130" t="n">
        <f aca="false">METEO!BV33</f>
        <v>2</v>
      </c>
      <c r="AI11" s="122" t="str">
        <f aca="false">CONCATENATE(TEXT(AH11,"+# ##0;-# ##0;0"),"°")</f>
        <v>+2°</v>
      </c>
      <c r="AJ11" s="131" t="n">
        <f aca="false">AH11+800</f>
        <v>802</v>
      </c>
      <c r="AK11" s="131" t="n">
        <f aca="false">AJ11-MIN(I11,R11,AA11,AJ11)</f>
        <v>0</v>
      </c>
      <c r="AL11" s="132" t="n">
        <f aca="false">((800/MAX(J11,S11,AB11,AK11))*AK11)</f>
        <v>0</v>
      </c>
      <c r="AM11" s="124" t="n">
        <f aca="false">ROUND(AL11,0)</f>
        <v>0</v>
      </c>
      <c r="AN11" s="125" t="str">
        <f aca="false">METEO!CB33</f>
        <v> Облачно с прояснениями</v>
      </c>
      <c r="AO11" s="125" t="str">
        <f aca="false">METEO!CY33</f>
        <v>Без осадков</v>
      </c>
      <c r="AP11" s="126" t="str">
        <f aca="false" t="array" ref="AP11:AP11">INDEX(Service1!F72:F116,MATCH(Service2!AN11&amp;Service2!AO11,Service1!C72:C116&amp;Service1!D72:D116,0))</f>
        <v>iconCloudMoon.mov</v>
      </c>
      <c r="AQ11" s="134" t="str">
        <f aca="false">CONCATENATE(L11,", ",U11,", ",AD11,", ",AM11)</f>
        <v>800, 62, 800, 0</v>
      </c>
    </row>
    <row r="12" customFormat="false" ht="15" hidden="false" customHeight="false" outlineLevel="0" collapsed="false">
      <c r="B12" s="138" t="s">
        <v>178</v>
      </c>
      <c r="C12" s="139" t="str">
        <f aca="false">CONCATENATE("Прогноз на ",VLOOKUP(C8,Таблица4[],3,FALSE()))</f>
        <v>Прогноз на субботу</v>
      </c>
      <c r="F12" s="116" t="str">
        <f aca="false">Service1!C11</f>
        <v>Тюкалинск</v>
      </c>
      <c r="G12" s="130" t="n">
        <f aca="false">METEO!T11</f>
        <v>15</v>
      </c>
      <c r="H12" s="122" t="str">
        <f aca="false">CONCATENATE(TEXT(G12,"+# ##0;-# ##0;0"),"°")</f>
        <v>+15°</v>
      </c>
      <c r="I12" s="131" t="n">
        <f aca="false">G12+800</f>
        <v>815</v>
      </c>
      <c r="J12" s="131" t="n">
        <f aca="false">I12-MIN(I12,R12,AA12,AJ12)</f>
        <v>13</v>
      </c>
      <c r="K12" s="132" t="n">
        <f aca="false">((800/MAX(J12,S12,AB12,AK12))*J12)</f>
        <v>742.857142857143</v>
      </c>
      <c r="L12" s="124" t="n">
        <f aca="false">ROUND(K12,0)</f>
        <v>743</v>
      </c>
      <c r="M12" s="125" t="str">
        <f aca="false">METEO!Z11</f>
        <v> Облачно</v>
      </c>
      <c r="N12" s="125" t="str">
        <f aca="false">METEO!AW11</f>
        <v>Без осадков</v>
      </c>
      <c r="O12" s="126" t="str">
        <f aca="false" t="array" ref="O12:O12">INDEX(Service1!E72:E116,MATCH(Service2!M12&amp;Service2!N12,Service1!C72:C116&amp;Service1!D72:D116,0))</f>
        <v>iconClouds.mov</v>
      </c>
      <c r="P12" s="130" t="n">
        <f aca="false">METEO!BV11</f>
        <v>2</v>
      </c>
      <c r="Q12" s="122" t="str">
        <f aca="false">CONCATENATE(TEXT(P12,"+# ##0;-# ##0;0"),"°")</f>
        <v>+2°</v>
      </c>
      <c r="R12" s="131" t="n">
        <f aca="false">P12+800</f>
        <v>802</v>
      </c>
      <c r="S12" s="131" t="n">
        <f aca="false">R12-MIN(I12,R12,AA12,AJ12)</f>
        <v>0</v>
      </c>
      <c r="T12" s="132" t="n">
        <f aca="false">((800/MAX(J12,S12,AB12,AK12))*S12)</f>
        <v>0</v>
      </c>
      <c r="U12" s="124" t="n">
        <f aca="false">ROUND(T12,0)</f>
        <v>0</v>
      </c>
      <c r="V12" s="125" t="str">
        <f aca="false">METEO!CB11</f>
        <v> Облачно с прояснениями</v>
      </c>
      <c r="W12" s="125" t="str">
        <f aca="false">METEO!CY11</f>
        <v>Без осадков</v>
      </c>
      <c r="X12" s="126" t="str">
        <f aca="false" t="array" ref="X12:X12">INDEX(Service1!F72:F116,MATCH(Service2!V12&amp;Service2!W12,Service1!C72:C116&amp;Service1!D72:D116,0))</f>
        <v>iconCloudMoon.mov</v>
      </c>
      <c r="Y12" s="130" t="n">
        <f aca="false">METEO!T34</f>
        <v>16</v>
      </c>
      <c r="Z12" s="122" t="str">
        <f aca="false">CONCATENATE(TEXT(Y12,"+# ##0;-# ##0;0"),"°")</f>
        <v>+16°</v>
      </c>
      <c r="AA12" s="131" t="n">
        <f aca="false">Y12+800</f>
        <v>816</v>
      </c>
      <c r="AB12" s="133" t="n">
        <f aca="false">AA12-MIN(I12,R12,AA12,AJ12)</f>
        <v>14</v>
      </c>
      <c r="AC12" s="132" t="n">
        <f aca="false">((800/MAX(J12,S12,AB12,AK12))*AB12)</f>
        <v>800</v>
      </c>
      <c r="AD12" s="124" t="n">
        <f aca="false">ROUND(AC12,0)</f>
        <v>800</v>
      </c>
      <c r="AE12" s="125" t="str">
        <f aca="false">METEO!Z34</f>
        <v> Ясно</v>
      </c>
      <c r="AF12" s="125" t="str">
        <f aca="false">METEO!AW34</f>
        <v>Без осадков</v>
      </c>
      <c r="AG12" s="126" t="str">
        <f aca="false" t="array" ref="AG12:AG12">INDEX(Service1!E72:E116,MATCH(Service2!AE12&amp;Service2!AF12,Service1!C72:C116&amp;Service1!D72:D116,0))</f>
        <v>iconSun.mov</v>
      </c>
      <c r="AH12" s="130" t="n">
        <f aca="false">METEO!BV34</f>
        <v>2</v>
      </c>
      <c r="AI12" s="122" t="str">
        <f aca="false">CONCATENATE(TEXT(AH12,"+# ##0;-# ##0;0"),"°")</f>
        <v>+2°</v>
      </c>
      <c r="AJ12" s="131" t="n">
        <f aca="false">AH12+800</f>
        <v>802</v>
      </c>
      <c r="AK12" s="131" t="n">
        <f aca="false">AJ12-MIN(I12,R12,AA12,AJ12)</f>
        <v>0</v>
      </c>
      <c r="AL12" s="132" t="n">
        <f aca="false">((800/MAX(J12,S12,AB12,AK12))*AK12)</f>
        <v>0</v>
      </c>
      <c r="AM12" s="124" t="n">
        <f aca="false">ROUND(AL12,0)</f>
        <v>0</v>
      </c>
      <c r="AN12" s="125" t="str">
        <f aca="false">METEO!CB34</f>
        <v> Ясно</v>
      </c>
      <c r="AO12" s="125" t="str">
        <f aca="false">METEO!CY34</f>
        <v>Без осадков</v>
      </c>
      <c r="AP12" s="126" t="str">
        <f aca="false" t="array" ref="AP12:AP12">INDEX(Service1!F72:F116,MATCH(Service2!AN12&amp;Service2!AO12,Service1!C72:C116&amp;Service1!D72:D116,0))</f>
        <v>iconMoon.mov</v>
      </c>
      <c r="AQ12" s="134" t="str">
        <f aca="false">CONCATENATE(L12,", ",U12,", ",AD12,", ",AM12)</f>
        <v>743, 0, 800, 0</v>
      </c>
    </row>
    <row r="13" customFormat="false" ht="15" hidden="false" customHeight="false" outlineLevel="0" collapsed="false">
      <c r="B13" s="140" t="s">
        <v>179</v>
      </c>
      <c r="C13" s="141" t="str">
        <f aca="false">TEXT(C5,"[$-FC19]Д ММММ")</f>
        <v>4 октября</v>
      </c>
      <c r="F13" s="116" t="str">
        <f aca="false">Service1!C12</f>
        <v>Большеречье</v>
      </c>
      <c r="G13" s="130" t="n">
        <f aca="false">METEO!T12</f>
        <v>16</v>
      </c>
      <c r="H13" s="122" t="str">
        <f aca="false">CONCATENATE(TEXT(G13,"+# ##0;-# ##0;0"),"°")</f>
        <v>+16°</v>
      </c>
      <c r="I13" s="131" t="n">
        <f aca="false">G13+800</f>
        <v>816</v>
      </c>
      <c r="J13" s="131" t="n">
        <f aca="false">I13-MIN(I13,R13,AA13,AJ13)</f>
        <v>14</v>
      </c>
      <c r="K13" s="132" t="n">
        <f aca="false">((800/MAX(J13,S13,AB13,AK13))*J13)</f>
        <v>800</v>
      </c>
      <c r="L13" s="124" t="n">
        <f aca="false">ROUND(K13,0)</f>
        <v>800</v>
      </c>
      <c r="M13" s="125" t="str">
        <f aca="false">METEO!Z12</f>
        <v> Облачно</v>
      </c>
      <c r="N13" s="125" t="str">
        <f aca="false">METEO!AW12</f>
        <v>Без осадков</v>
      </c>
      <c r="O13" s="126" t="str">
        <f aca="false" t="array" ref="O13:O13">INDEX(Service1!E72:E116,MATCH(Service2!M13&amp;Service2!N13,Service1!C72:C116&amp;Service1!D72:D116,0))</f>
        <v>iconClouds.mov</v>
      </c>
      <c r="P13" s="130" t="n">
        <f aca="false">METEO!BV12</f>
        <v>3</v>
      </c>
      <c r="Q13" s="122" t="str">
        <f aca="false">CONCATENATE(TEXT(P13,"+# ##0;-# ##0;0"),"°")</f>
        <v>+3°</v>
      </c>
      <c r="R13" s="131" t="n">
        <f aca="false">P13+800</f>
        <v>803</v>
      </c>
      <c r="S13" s="131" t="n">
        <f aca="false">R13-MIN(I13,R13,AA13,AJ13)</f>
        <v>1</v>
      </c>
      <c r="T13" s="132" t="n">
        <f aca="false">((800/MAX(J13,S13,AB13,AK13))*S13)</f>
        <v>57.1428571428571</v>
      </c>
      <c r="U13" s="124" t="n">
        <f aca="false">ROUND(T13,0)</f>
        <v>57</v>
      </c>
      <c r="V13" s="125" t="str">
        <f aca="false">METEO!CB12</f>
        <v> Облачно</v>
      </c>
      <c r="W13" s="125" t="str">
        <f aca="false">METEO!CY12</f>
        <v>Без осадков</v>
      </c>
      <c r="X13" s="126" t="str">
        <f aca="false" t="array" ref="X13:X13">INDEX(Service1!F72:F116,MATCH(Service2!V13&amp;Service2!W13,Service1!C72:C116&amp;Service1!D72:D116,0))</f>
        <v>iconClouds.mov</v>
      </c>
      <c r="Y13" s="130" t="n">
        <f aca="false">METEO!T35</f>
        <v>16</v>
      </c>
      <c r="Z13" s="122" t="str">
        <f aca="false">CONCATENATE(TEXT(Y13,"+# ##0;-# ##0;0"),"°")</f>
        <v>+16°</v>
      </c>
      <c r="AA13" s="131" t="n">
        <f aca="false">Y13+800</f>
        <v>816</v>
      </c>
      <c r="AB13" s="133" t="n">
        <f aca="false">AA13-MIN(I13,R13,AA13,AJ13)</f>
        <v>14</v>
      </c>
      <c r="AC13" s="132" t="n">
        <f aca="false">((800/MAX(J13,S13,AB13,AK13))*AB13)</f>
        <v>800</v>
      </c>
      <c r="AD13" s="124" t="n">
        <f aca="false">ROUND(AC13,0)</f>
        <v>800</v>
      </c>
      <c r="AE13" s="125" t="str">
        <f aca="false">METEO!Z35</f>
        <v> Облачно с прояснениями</v>
      </c>
      <c r="AF13" s="125" t="str">
        <f aca="false">METEO!AW35</f>
        <v>Без осадков</v>
      </c>
      <c r="AG13" s="126" t="str">
        <f aca="false" t="array" ref="AG13:AG13">INDEX(Service1!E72:E116,MATCH(Service2!AE13&amp;Service2!AF13,Service1!C72:C116&amp;Service1!D72:D116,0))</f>
        <v>iconCloudSun.mov</v>
      </c>
      <c r="AH13" s="130" t="n">
        <f aca="false">METEO!BV35</f>
        <v>2</v>
      </c>
      <c r="AI13" s="122" t="str">
        <f aca="false">CONCATENATE(TEXT(AH13,"+# ##0;-# ##0;0"),"°")</f>
        <v>+2°</v>
      </c>
      <c r="AJ13" s="131" t="n">
        <f aca="false">AH13+800</f>
        <v>802</v>
      </c>
      <c r="AK13" s="131" t="n">
        <f aca="false">AJ13-MIN(I13,R13,AA13,AJ13)</f>
        <v>0</v>
      </c>
      <c r="AL13" s="132" t="n">
        <f aca="false">((800/MAX(J13,S13,AB13,AK13))*AK13)</f>
        <v>0</v>
      </c>
      <c r="AM13" s="124" t="n">
        <f aca="false">ROUND(AL13,0)</f>
        <v>0</v>
      </c>
      <c r="AN13" s="125" t="str">
        <f aca="false">METEO!CB35</f>
        <v> Облачно с прояснениями</v>
      </c>
      <c r="AO13" s="125" t="str">
        <f aca="false">METEO!CY35</f>
        <v>Без осадков</v>
      </c>
      <c r="AP13" s="126" t="str">
        <f aca="false" t="array" ref="AP13:AP13">INDEX(Service1!F72:F116,MATCH(Service2!AN13&amp;Service2!AO13,Service1!C72:C116&amp;Service1!D72:D116,0))</f>
        <v>iconCloudMoon.mov</v>
      </c>
      <c r="AQ13" s="134" t="str">
        <f aca="false">CONCATENATE(L13,", ",U13,", ",AD13,", ",AM13)</f>
        <v>800, 57, 800, 0</v>
      </c>
    </row>
    <row r="14" customFormat="false" ht="15" hidden="false" customHeight="false" outlineLevel="0" collapsed="false">
      <c r="B14" s="142" t="s">
        <v>180</v>
      </c>
      <c r="C14" s="143" t="str">
        <f aca="false">TEXT(C6,"[$-FC19]Д ММММ")</f>
        <v>5 октября</v>
      </c>
      <c r="F14" s="116" t="str">
        <f aca="false">Service1!C13</f>
        <v>Называевск</v>
      </c>
      <c r="G14" s="130" t="n">
        <f aca="false">METEO!T13</f>
        <v>16</v>
      </c>
      <c r="H14" s="122" t="str">
        <f aca="false">CONCATENATE(TEXT(G14,"+# ##0;-# ##0;0"),"°")</f>
        <v>+16°</v>
      </c>
      <c r="I14" s="131" t="n">
        <f aca="false">G14+800</f>
        <v>816</v>
      </c>
      <c r="J14" s="131" t="n">
        <f aca="false">I14-MIN(I14,R14,AA14,AJ14)</f>
        <v>15</v>
      </c>
      <c r="K14" s="132" t="n">
        <f aca="false">((800/MAX(J14,S14,AB14,AK14))*J14)</f>
        <v>800</v>
      </c>
      <c r="L14" s="124" t="n">
        <f aca="false">ROUND(K14,0)</f>
        <v>800</v>
      </c>
      <c r="M14" s="125" t="str">
        <f aca="false">METEO!Z13</f>
        <v> Облачно</v>
      </c>
      <c r="N14" s="125" t="str">
        <f aca="false">METEO!AW13</f>
        <v>Без осадков</v>
      </c>
      <c r="O14" s="126" t="str">
        <f aca="false" t="array" ref="O14:O14">INDEX(Service1!E72:E116,MATCH(Service2!M14&amp;Service2!N14,Service1!C72:C116&amp;Service1!D72:D116,0))</f>
        <v>iconClouds.mov</v>
      </c>
      <c r="P14" s="130" t="n">
        <f aca="false">METEO!BV13</f>
        <v>1</v>
      </c>
      <c r="Q14" s="122" t="str">
        <f aca="false">CONCATENATE(TEXT(P14,"+# ##0;-# ##0;0"),"°")</f>
        <v>+1°</v>
      </c>
      <c r="R14" s="131" t="n">
        <f aca="false">P14+800</f>
        <v>801</v>
      </c>
      <c r="S14" s="131" t="n">
        <f aca="false">R14-MIN(I14,R14,AA14,AJ14)</f>
        <v>0</v>
      </c>
      <c r="T14" s="132" t="n">
        <f aca="false">((800/MAX(J14,S14,AB14,AK14))*S14)</f>
        <v>0</v>
      </c>
      <c r="U14" s="124" t="n">
        <f aca="false">ROUND(T14,0)</f>
        <v>0</v>
      </c>
      <c r="V14" s="125" t="str">
        <f aca="false">METEO!CB13</f>
        <v> Облачно с прояснениями</v>
      </c>
      <c r="W14" s="125" t="str">
        <f aca="false">METEO!CY13</f>
        <v>Без осадков</v>
      </c>
      <c r="X14" s="126" t="str">
        <f aca="false" t="array" ref="X14:X14">INDEX(Service1!F72:F116,MATCH(Service2!V14&amp;Service2!W14,Service1!C72:C116&amp;Service1!D72:D116,0))</f>
        <v>iconCloudMoon.mov</v>
      </c>
      <c r="Y14" s="130" t="n">
        <f aca="false">METEO!T36</f>
        <v>16</v>
      </c>
      <c r="Z14" s="122" t="str">
        <f aca="false">CONCATENATE(TEXT(Y14,"+# ##0;-# ##0;0"),"°")</f>
        <v>+16°</v>
      </c>
      <c r="AA14" s="131" t="n">
        <f aca="false">Y14+800</f>
        <v>816</v>
      </c>
      <c r="AB14" s="133" t="n">
        <f aca="false">AA14-MIN(I14,R14,AA14,AJ14)</f>
        <v>15</v>
      </c>
      <c r="AC14" s="132" t="n">
        <f aca="false">((800/MAX(J14,S14,AB14,AK14))*AB14)</f>
        <v>800</v>
      </c>
      <c r="AD14" s="124" t="n">
        <f aca="false">ROUND(AC14,0)</f>
        <v>800</v>
      </c>
      <c r="AE14" s="125" t="str">
        <f aca="false">METEO!Z36</f>
        <v> Ясно</v>
      </c>
      <c r="AF14" s="125" t="str">
        <f aca="false">METEO!AW36</f>
        <v>Без осадков</v>
      </c>
      <c r="AG14" s="126" t="str">
        <f aca="false" t="array" ref="AG14:AG14">INDEX(Service1!E72:E116,MATCH(Service2!AE14&amp;Service2!AF14,Service1!C72:C116&amp;Service1!D72:D116,0))</f>
        <v>iconSun.mov</v>
      </c>
      <c r="AH14" s="130" t="n">
        <f aca="false">METEO!BV36</f>
        <v>1</v>
      </c>
      <c r="AI14" s="122" t="str">
        <f aca="false">CONCATENATE(TEXT(AH14,"+# ##0;-# ##0;0"),"°")</f>
        <v>+1°</v>
      </c>
      <c r="AJ14" s="131" t="n">
        <f aca="false">AH14+800</f>
        <v>801</v>
      </c>
      <c r="AK14" s="131" t="n">
        <f aca="false">AJ14-MIN(I14,R14,AA14,AJ14)</f>
        <v>0</v>
      </c>
      <c r="AL14" s="132" t="n">
        <f aca="false">((800/MAX(J14,S14,AB14,AK14))*AK14)</f>
        <v>0</v>
      </c>
      <c r="AM14" s="124" t="n">
        <f aca="false">ROUND(AL14,0)</f>
        <v>0</v>
      </c>
      <c r="AN14" s="125" t="str">
        <f aca="false">METEO!CB36</f>
        <v> Ясно</v>
      </c>
      <c r="AO14" s="125" t="str">
        <f aca="false">METEO!CY36</f>
        <v>Без осадков</v>
      </c>
      <c r="AP14" s="126" t="str">
        <f aca="false" t="array" ref="AP14:AP14">INDEX(Service1!F72:F116,MATCH(Service2!AN14&amp;Service2!AO14,Service1!C72:C116&amp;Service1!D72:D116,0))</f>
        <v>iconMoon.mov</v>
      </c>
      <c r="AQ14" s="134" t="str">
        <f aca="false">CONCATENATE(L14,", ",U14,", ",AD14,", ",AM14)</f>
        <v>800, 0, 800, 0</v>
      </c>
    </row>
    <row r="15" customFormat="false" ht="15" hidden="false" customHeight="false" outlineLevel="0" collapsed="false">
      <c r="B15" s="140" t="s">
        <v>181</v>
      </c>
      <c r="C15" s="141" t="str">
        <f aca="false">CONCATENATE(C13,". ",C9)</f>
        <v>4 октября. Пятница</v>
      </c>
      <c r="F15" s="116" t="str">
        <f aca="false">Service1!C14</f>
        <v>Тевриз</v>
      </c>
      <c r="G15" s="130" t="n">
        <f aca="false">METEO!T14</f>
        <v>14</v>
      </c>
      <c r="H15" s="122" t="str">
        <f aca="false">CONCATENATE(TEXT(G15,"+# ##0;-# ##0;0"),"°")</f>
        <v>+14°</v>
      </c>
      <c r="I15" s="131" t="n">
        <f aca="false">G15+800</f>
        <v>814</v>
      </c>
      <c r="J15" s="131" t="n">
        <f aca="false">I15-MIN(I15,R15,AA15,AJ15)</f>
        <v>12</v>
      </c>
      <c r="K15" s="132" t="n">
        <f aca="false">((800/MAX(J15,S15,AB15,AK15))*J15)</f>
        <v>800</v>
      </c>
      <c r="L15" s="124" t="n">
        <f aca="false">ROUND(K15,0)</f>
        <v>800</v>
      </c>
      <c r="M15" s="125" t="str">
        <f aca="false">METEO!Z14</f>
        <v> Облачно</v>
      </c>
      <c r="N15" s="125" t="str">
        <f aca="false">METEO!AW14</f>
        <v>Без осадков</v>
      </c>
      <c r="O15" s="126" t="str">
        <f aca="false" t="array" ref="O15:O15">INDEX(Service1!E72:E116,MATCH(Service2!M15&amp;Service2!N15,Service1!C72:C116&amp;Service1!D72:D116,0))</f>
        <v>iconClouds.mov</v>
      </c>
      <c r="P15" s="130" t="n">
        <f aca="false">METEO!BV14</f>
        <v>4</v>
      </c>
      <c r="Q15" s="122" t="str">
        <f aca="false">CONCATENATE(TEXT(P15,"+# ##0;-# ##0;0"),"°")</f>
        <v>+4°</v>
      </c>
      <c r="R15" s="131" t="n">
        <f aca="false">P15+800</f>
        <v>804</v>
      </c>
      <c r="S15" s="131" t="n">
        <f aca="false">R15-MIN(I15,R15,AA15,AJ15)</f>
        <v>2</v>
      </c>
      <c r="T15" s="132" t="n">
        <f aca="false">((800/MAX(J15,S15,AB15,AK15))*S15)</f>
        <v>133.333333333333</v>
      </c>
      <c r="U15" s="124" t="n">
        <f aca="false">ROUND(T15,0)</f>
        <v>133</v>
      </c>
      <c r="V15" s="125" t="str">
        <f aca="false">METEO!CB14</f>
        <v> Облачно</v>
      </c>
      <c r="W15" s="125" t="str">
        <f aca="false">METEO!CY14</f>
        <v>Без осадков</v>
      </c>
      <c r="X15" s="126" t="str">
        <f aca="false" t="array" ref="X15:X15">INDEX(Service1!F72:F116,MATCH(Service2!V15&amp;Service2!W15,Service1!C72:C116&amp;Service1!D72:D116,0))</f>
        <v>iconClouds.mov</v>
      </c>
      <c r="Y15" s="130" t="n">
        <f aca="false">METEO!T37</f>
        <v>14</v>
      </c>
      <c r="Z15" s="122" t="str">
        <f aca="false">CONCATENATE(TEXT(Y15,"+# ##0;-# ##0;0"),"°")</f>
        <v>+14°</v>
      </c>
      <c r="AA15" s="131" t="n">
        <f aca="false">Y15+800</f>
        <v>814</v>
      </c>
      <c r="AB15" s="133" t="n">
        <f aca="false">AA15-MIN(I15,R15,AA15,AJ15)</f>
        <v>12</v>
      </c>
      <c r="AC15" s="132" t="n">
        <f aca="false">((800/MAX(J15,S15,AB15,AK15))*AB15)</f>
        <v>800</v>
      </c>
      <c r="AD15" s="124" t="n">
        <f aca="false">ROUND(AC15,0)</f>
        <v>800</v>
      </c>
      <c r="AE15" s="125" t="str">
        <f aca="false">METEO!Z37</f>
        <v> Облачно с прояснениями</v>
      </c>
      <c r="AF15" s="125" t="str">
        <f aca="false">METEO!AW37</f>
        <v>Без осадков</v>
      </c>
      <c r="AG15" s="126" t="str">
        <f aca="false" t="array" ref="AG15:AG15">INDEX(Service1!E72:E116,MATCH(Service2!AE15&amp;Service2!AF15,Service1!C72:C116&amp;Service1!D72:D116,0))</f>
        <v>iconCloudSun.mov</v>
      </c>
      <c r="AH15" s="130" t="n">
        <f aca="false">METEO!BV37</f>
        <v>2</v>
      </c>
      <c r="AI15" s="122" t="str">
        <f aca="false">CONCATENATE(TEXT(AH15,"+# ##0;-# ##0;0"),"°")</f>
        <v>+2°</v>
      </c>
      <c r="AJ15" s="131" t="n">
        <f aca="false">AH15+800</f>
        <v>802</v>
      </c>
      <c r="AK15" s="131" t="n">
        <f aca="false">AJ15-MIN(I15,R15,AA15,AJ15)</f>
        <v>0</v>
      </c>
      <c r="AL15" s="132" t="n">
        <f aca="false">((800/MAX(J15,S15,AB15,AK15))*AK15)</f>
        <v>0</v>
      </c>
      <c r="AM15" s="124" t="n">
        <f aca="false">ROUND(AL15,0)</f>
        <v>0</v>
      </c>
      <c r="AN15" s="125" t="str">
        <f aca="false">METEO!CB37</f>
        <v> Облачно с прояснениями</v>
      </c>
      <c r="AO15" s="125" t="str">
        <f aca="false">METEO!CY37</f>
        <v>Без осадков</v>
      </c>
      <c r="AP15" s="126" t="str">
        <f aca="false" t="array" ref="AP15:AP15">INDEX(Service1!F72:F116,MATCH(Service2!AN15&amp;Service2!AO15,Service1!C72:C116&amp;Service1!D72:D116,0))</f>
        <v>iconCloudMoon.mov</v>
      </c>
      <c r="AQ15" s="134" t="str">
        <f aca="false">CONCATENATE(L15,", ",U15,", ",AD15,", ",AM15)</f>
        <v>800, 133, 800, 0</v>
      </c>
    </row>
    <row r="16" customFormat="false" ht="15" hidden="false" customHeight="false" outlineLevel="0" collapsed="false">
      <c r="B16" s="142" t="s">
        <v>182</v>
      </c>
      <c r="C16" s="143" t="str">
        <f aca="false">CONCATENATE(C14,". ",C10)</f>
        <v>5 октября. Суббота</v>
      </c>
      <c r="F16" s="116" t="str">
        <f aca="false">Service1!C15</f>
        <v>Саргатское</v>
      </c>
      <c r="G16" s="130" t="n">
        <f aca="false">METEO!T15</f>
        <v>16</v>
      </c>
      <c r="H16" s="122" t="str">
        <f aca="false">CONCATENATE(TEXT(G16,"+# ##0;-# ##0;0"),"°")</f>
        <v>+16°</v>
      </c>
      <c r="I16" s="131" t="n">
        <f aca="false">G16+800</f>
        <v>816</v>
      </c>
      <c r="J16" s="131" t="n">
        <f aca="false">I16-MIN(I16,R16,AA16,AJ16)</f>
        <v>15</v>
      </c>
      <c r="K16" s="132" t="n">
        <f aca="false">((800/MAX(J16,S16,AB16,AK16))*J16)</f>
        <v>800</v>
      </c>
      <c r="L16" s="124" t="n">
        <f aca="false">ROUND(K16,0)</f>
        <v>800</v>
      </c>
      <c r="M16" s="125" t="str">
        <f aca="false">METEO!Z15</f>
        <v> Облачно</v>
      </c>
      <c r="N16" s="125" t="str">
        <f aca="false">METEO!AW15</f>
        <v>Без осадков</v>
      </c>
      <c r="O16" s="126" t="str">
        <f aca="false" t="array" ref="O16:O16">INDEX(Service1!E72:E116,MATCH(Service2!M16&amp;Service2!N16,Service1!C72:C116&amp;Service1!D72:D116,0))</f>
        <v>iconClouds.mov</v>
      </c>
      <c r="P16" s="130" t="n">
        <f aca="false">METEO!BV15</f>
        <v>1</v>
      </c>
      <c r="Q16" s="122" t="str">
        <f aca="false">CONCATENATE(TEXT(P16,"+# ##0;-# ##0;0"),"°")</f>
        <v>+1°</v>
      </c>
      <c r="R16" s="131" t="n">
        <f aca="false">P16+800</f>
        <v>801</v>
      </c>
      <c r="S16" s="131" t="n">
        <f aca="false">R16-MIN(I16,R16,AA16,AJ16)</f>
        <v>0</v>
      </c>
      <c r="T16" s="132" t="n">
        <f aca="false">((800/MAX(J16,S16,AB16,AK16))*S16)</f>
        <v>0</v>
      </c>
      <c r="U16" s="124" t="n">
        <f aca="false">ROUND(T16,0)</f>
        <v>0</v>
      </c>
      <c r="V16" s="125" t="str">
        <f aca="false">METEO!CB15</f>
        <v> Облачно с прояснениями</v>
      </c>
      <c r="W16" s="125" t="str">
        <f aca="false">METEO!CY15</f>
        <v>Без осадков</v>
      </c>
      <c r="X16" s="126" t="str">
        <f aca="false" t="array" ref="X16:X16">INDEX(Service1!F72:F116,MATCH(Service2!V16&amp;Service2!W16,Service1!C72:C116&amp;Service1!D72:D116,0))</f>
        <v>iconCloudMoon.mov</v>
      </c>
      <c r="Y16" s="130" t="n">
        <f aca="false">METEO!T38</f>
        <v>16</v>
      </c>
      <c r="Z16" s="122" t="str">
        <f aca="false">CONCATENATE(TEXT(Y16,"+# ##0;-# ##0;0"),"°")</f>
        <v>+16°</v>
      </c>
      <c r="AA16" s="131" t="n">
        <f aca="false">Y16+800</f>
        <v>816</v>
      </c>
      <c r="AB16" s="133" t="n">
        <f aca="false">AA16-MIN(I16,R16,AA16,AJ16)</f>
        <v>15</v>
      </c>
      <c r="AC16" s="132" t="n">
        <f aca="false">((800/MAX(J16,S16,AB16,AK16))*AB16)</f>
        <v>800</v>
      </c>
      <c r="AD16" s="124" t="n">
        <f aca="false">ROUND(AC16,0)</f>
        <v>800</v>
      </c>
      <c r="AE16" s="125" t="str">
        <f aca="false">METEO!Z38</f>
        <v> Облачно с прояснениями</v>
      </c>
      <c r="AF16" s="125" t="str">
        <f aca="false">METEO!AW38</f>
        <v>Без осадков</v>
      </c>
      <c r="AG16" s="126" t="str">
        <f aca="false" t="array" ref="AG16:AG16">INDEX(Service1!E72:E116,MATCH(Service2!AE16&amp;Service2!AF16,Service1!C72:C116&amp;Service1!D72:D116,0))</f>
        <v>iconCloudSun.mov</v>
      </c>
      <c r="AH16" s="130" t="n">
        <f aca="false">METEO!BV38</f>
        <v>1</v>
      </c>
      <c r="AI16" s="122" t="str">
        <f aca="false">CONCATENATE(TEXT(AH16,"+# ##0;-# ##0;0"),"°")</f>
        <v>+1°</v>
      </c>
      <c r="AJ16" s="131" t="n">
        <f aca="false">AH16+800</f>
        <v>801</v>
      </c>
      <c r="AK16" s="131" t="n">
        <f aca="false">AJ16-MIN(I16,R16,AA16,AJ16)</f>
        <v>0</v>
      </c>
      <c r="AL16" s="132" t="n">
        <f aca="false">((800/MAX(J16,S16,AB16,AK16))*AK16)</f>
        <v>0</v>
      </c>
      <c r="AM16" s="124" t="n">
        <f aca="false">ROUND(AL16,0)</f>
        <v>0</v>
      </c>
      <c r="AN16" s="125" t="str">
        <f aca="false">METEO!CB38</f>
        <v> Облачно с прояснениями</v>
      </c>
      <c r="AO16" s="125" t="str">
        <f aca="false">METEO!CY38</f>
        <v>Без осадков</v>
      </c>
      <c r="AP16" s="126" t="str">
        <f aca="false" t="array" ref="AP16:AP16">INDEX(Service1!F72:F116,MATCH(Service2!AN16&amp;Service2!AO16,Service1!C72:C116&amp;Service1!D72:D116,0))</f>
        <v>iconCloudMoon.mov</v>
      </c>
      <c r="AQ16" s="134" t="str">
        <f aca="false">CONCATENATE(L16,", ",U16,", ",AD16,", ",AM16)</f>
        <v>800, 0, 800, 0</v>
      </c>
    </row>
    <row r="17" customFormat="false" ht="15" hidden="false" customHeight="false" outlineLevel="0" collapsed="false">
      <c r="B17" s="140" t="s">
        <v>183</v>
      </c>
      <c r="C17" s="141" t="str">
        <f aca="false">CONCATENATE("День, ",TEXT(C5,"Д.ММ"))</f>
        <v>День, 4.10</v>
      </c>
      <c r="F17" s="116" t="str">
        <f aca="false">Service1!D9</f>
        <v>Исилькуль</v>
      </c>
      <c r="G17" s="130" t="n">
        <f aca="false">METEO!T16</f>
        <v>16</v>
      </c>
      <c r="H17" s="122" t="str">
        <f aca="false">CONCATENATE(TEXT(G17,"+# ##0;-# ##0;0"),"°")</f>
        <v>+16°</v>
      </c>
      <c r="I17" s="131" t="n">
        <f aca="false">G17+800</f>
        <v>816</v>
      </c>
      <c r="J17" s="131" t="n">
        <f aca="false">I17-MIN(I17,R17,AA17,AJ17)</f>
        <v>17</v>
      </c>
      <c r="K17" s="132" t="n">
        <f aca="false">((800/MAX(J17,S17,AB17,AK17))*J17)</f>
        <v>755.555555555556</v>
      </c>
      <c r="L17" s="124" t="n">
        <f aca="false">ROUND(K17,0)</f>
        <v>756</v>
      </c>
      <c r="M17" s="125" t="str">
        <f aca="false">METEO!Z16</f>
        <v> Облачно</v>
      </c>
      <c r="N17" s="125" t="str">
        <f aca="false">METEO!AW16</f>
        <v>Без осадков</v>
      </c>
      <c r="O17" s="126" t="str">
        <f aca="false" t="array" ref="O17:O17">INDEX(Service1!E72:E116,MATCH(Service2!M17&amp;Service2!N17,Service1!C72:C116&amp;Service1!D72:D116,0))</f>
        <v>iconClouds.mov</v>
      </c>
      <c r="P17" s="130" t="n">
        <f aca="false">METEO!BV16</f>
        <v>-1</v>
      </c>
      <c r="Q17" s="122" t="str">
        <f aca="false">CONCATENATE(TEXT(P17,"+# ##0;-# ##0;0"),"°")</f>
        <v>-1°</v>
      </c>
      <c r="R17" s="131" t="n">
        <f aca="false">P17+800</f>
        <v>799</v>
      </c>
      <c r="S17" s="131" t="n">
        <f aca="false">R17-MIN(I17,R17,AA17,AJ17)</f>
        <v>0</v>
      </c>
      <c r="T17" s="132" t="n">
        <f aca="false">((800/MAX(J17,S17,AB17,AK17))*S17)</f>
        <v>0</v>
      </c>
      <c r="U17" s="124" t="n">
        <f aca="false">ROUND(T17,0)</f>
        <v>0</v>
      </c>
      <c r="V17" s="125" t="str">
        <f aca="false">METEO!CB16</f>
        <v> Переменная облачность</v>
      </c>
      <c r="W17" s="125" t="str">
        <f aca="false">METEO!CY16</f>
        <v>Без осадков</v>
      </c>
      <c r="X17" s="126" t="str">
        <f aca="false" t="array" ref="X17:X17">INDEX(Service1!F72:F116,MATCH(Service2!V17&amp;Service2!W17,Service1!C72:C116&amp;Service1!D72:D116,0))</f>
        <v>iconCloudMoon.mov</v>
      </c>
      <c r="Y17" s="130" t="n">
        <f aca="false">METEO!T39</f>
        <v>17</v>
      </c>
      <c r="Z17" s="122" t="str">
        <f aca="false">CONCATENATE(TEXT(Y17,"+# ##0;-# ##0;0"),"°")</f>
        <v>+17°</v>
      </c>
      <c r="AA17" s="131" t="n">
        <f aca="false">Y17+800</f>
        <v>817</v>
      </c>
      <c r="AB17" s="133" t="n">
        <f aca="false">AA17-MIN(I17,R17,AA17,AJ17)</f>
        <v>18</v>
      </c>
      <c r="AC17" s="132" t="n">
        <f aca="false">((800/MAX(J17,S17,AB17,AK17))*AB17)</f>
        <v>800</v>
      </c>
      <c r="AD17" s="124" t="n">
        <f aca="false">ROUND(AC17,0)</f>
        <v>800</v>
      </c>
      <c r="AE17" s="125" t="str">
        <f aca="false">METEO!Z39</f>
        <v> Ясно</v>
      </c>
      <c r="AF17" s="125" t="str">
        <f aca="false">METEO!AW39</f>
        <v>Без осадков</v>
      </c>
      <c r="AG17" s="126" t="str">
        <f aca="false" t="array" ref="AG17:AG17">INDEX(Service1!E72:E116,MATCH(Service2!AE17&amp;Service2!AF17,Service1!C72:C116&amp;Service1!D72:D116,0))</f>
        <v>iconSun.mov</v>
      </c>
      <c r="AH17" s="130" t="n">
        <f aca="false">METEO!BV39</f>
        <v>0</v>
      </c>
      <c r="AI17" s="122" t="str">
        <f aca="false">CONCATENATE(TEXT(AH17,"+# ##0;-# ##0;0"),"°")</f>
        <v>0°</v>
      </c>
      <c r="AJ17" s="131" t="n">
        <f aca="false">AH17+800</f>
        <v>800</v>
      </c>
      <c r="AK17" s="131" t="n">
        <f aca="false">AJ17-MIN(I17,R17,AA17,AJ17)</f>
        <v>1</v>
      </c>
      <c r="AL17" s="132" t="n">
        <f aca="false">((800/MAX(J17,S17,AB17,AK17))*AK17)</f>
        <v>44.4444444444444</v>
      </c>
      <c r="AM17" s="124" t="n">
        <f aca="false">ROUND(AL17,0)</f>
        <v>44</v>
      </c>
      <c r="AN17" s="125" t="str">
        <f aca="false">METEO!CB39</f>
        <v> Ясно</v>
      </c>
      <c r="AO17" s="125" t="str">
        <f aca="false">METEO!CY39</f>
        <v>Без осадков</v>
      </c>
      <c r="AP17" s="126" t="str">
        <f aca="false" t="array" ref="AP17:AP17">INDEX(Service1!F72:F116,MATCH(Service2!AN17&amp;Service2!AO17,Service1!C72:C116&amp;Service1!D72:D116,0))</f>
        <v>iconMoon.mov</v>
      </c>
      <c r="AQ17" s="134" t="str">
        <f aca="false">CONCATENATE(L17,", ",U17,", ",AD17,", ",AM17)</f>
        <v>756, 0, 800, 44</v>
      </c>
    </row>
    <row r="18" customFormat="false" ht="15" hidden="false" customHeight="false" outlineLevel="0" collapsed="false">
      <c r="B18" s="142" t="s">
        <v>184</v>
      </c>
      <c r="C18" s="143" t="str">
        <f aca="false">CONCATENATE("Ночь, ",TEXT(C5,"Д.ММ"))</f>
        <v>Ночь, 4.10</v>
      </c>
      <c r="F18" s="116" t="str">
        <f aca="false">Service1!D10</f>
        <v>Калачинск</v>
      </c>
      <c r="G18" s="130" t="n">
        <f aca="false">METEO!T17</f>
        <v>16</v>
      </c>
      <c r="H18" s="122" t="str">
        <f aca="false">CONCATENATE(TEXT(G18,"+# ##0;-# ##0;0"),"°")</f>
        <v>+16°</v>
      </c>
      <c r="I18" s="131" t="n">
        <f aca="false">G18+800</f>
        <v>816</v>
      </c>
      <c r="J18" s="131" t="n">
        <f aca="false">I18-MIN(I18,R18,AA18,AJ18)</f>
        <v>15</v>
      </c>
      <c r="K18" s="132" t="n">
        <f aca="false">((800/MAX(J18,S18,AB18,AK18))*J18)</f>
        <v>800</v>
      </c>
      <c r="L18" s="124" t="n">
        <f aca="false">ROUND(K18,0)</f>
        <v>800</v>
      </c>
      <c r="M18" s="125" t="str">
        <f aca="false">METEO!Z17</f>
        <v> Облачно</v>
      </c>
      <c r="N18" s="125" t="str">
        <f aca="false">METEO!AW17</f>
        <v>Без осадков</v>
      </c>
      <c r="O18" s="126" t="str">
        <f aca="false" t="array" ref="O18:O18">INDEX(Service1!E72:E116,MATCH(Service2!M18&amp;Service2!N18,Service1!C72:C116&amp;Service1!D72:D116,0))</f>
        <v>iconClouds.mov</v>
      </c>
      <c r="P18" s="130" t="n">
        <f aca="false">METEO!BV17</f>
        <v>2</v>
      </c>
      <c r="Q18" s="122" t="str">
        <f aca="false">CONCATENATE(TEXT(P18,"+# ##0;-# ##0;0"),"°")</f>
        <v>+2°</v>
      </c>
      <c r="R18" s="131" t="n">
        <f aca="false">P18+800</f>
        <v>802</v>
      </c>
      <c r="S18" s="131" t="n">
        <f aca="false">R18-MIN(I18,R18,AA18,AJ18)</f>
        <v>1</v>
      </c>
      <c r="T18" s="132" t="n">
        <f aca="false">((800/MAX(J18,S18,AB18,AK18))*S18)</f>
        <v>53.3333333333333</v>
      </c>
      <c r="U18" s="124" t="n">
        <f aca="false">ROUND(T18,0)</f>
        <v>53</v>
      </c>
      <c r="V18" s="125" t="str">
        <f aca="false">METEO!CB17</f>
        <v> Облачно с прояснениями</v>
      </c>
      <c r="W18" s="125" t="str">
        <f aca="false">METEO!CY17</f>
        <v>Без осадков</v>
      </c>
      <c r="X18" s="126" t="str">
        <f aca="false" t="array" ref="X18:X18">INDEX(Service1!F72:F116,MATCH(Service2!V18&amp;Service2!W18,Service1!C72:C116&amp;Service1!D72:D116,0))</f>
        <v>iconCloudMoon.mov</v>
      </c>
      <c r="Y18" s="130" t="n">
        <f aca="false">METEO!T40</f>
        <v>16</v>
      </c>
      <c r="Z18" s="122" t="str">
        <f aca="false">CONCATENATE(TEXT(Y18,"+# ##0;-# ##0;0"),"°")</f>
        <v>+16°</v>
      </c>
      <c r="AA18" s="131" t="n">
        <f aca="false">Y18+800</f>
        <v>816</v>
      </c>
      <c r="AB18" s="133" t="n">
        <f aca="false">AA18-MIN(I18,R18,AA18,AJ18)</f>
        <v>15</v>
      </c>
      <c r="AC18" s="132" t="n">
        <f aca="false">((800/MAX(J18,S18,AB18,AK18))*AB18)</f>
        <v>800</v>
      </c>
      <c r="AD18" s="124" t="n">
        <f aca="false">ROUND(AC18,0)</f>
        <v>800</v>
      </c>
      <c r="AE18" s="125" t="str">
        <f aca="false">METEO!Z40</f>
        <v> Ясно</v>
      </c>
      <c r="AF18" s="125" t="str">
        <f aca="false">METEO!AW40</f>
        <v>Без осадков</v>
      </c>
      <c r="AG18" s="126" t="str">
        <f aca="false" t="array" ref="AG18:AG18">INDEX(Service1!E72:E116,MATCH(Service2!AE18&amp;Service2!AF18,Service1!C72:C116&amp;Service1!D72:D116,0))</f>
        <v>iconSun.mov</v>
      </c>
      <c r="AH18" s="130" t="n">
        <f aca="false">METEO!BV40</f>
        <v>1</v>
      </c>
      <c r="AI18" s="122" t="str">
        <f aca="false">CONCATENATE(TEXT(AH18,"+# ##0;-# ##0;0"),"°")</f>
        <v>+1°</v>
      </c>
      <c r="AJ18" s="131" t="n">
        <f aca="false">AH18+800</f>
        <v>801</v>
      </c>
      <c r="AK18" s="131" t="n">
        <f aca="false">AJ18-MIN(I18,R18,AA18,AJ18)</f>
        <v>0</v>
      </c>
      <c r="AL18" s="132" t="n">
        <f aca="false">((800/MAX(J18,S18,AB18,AK18))*AK18)</f>
        <v>0</v>
      </c>
      <c r="AM18" s="124" t="n">
        <f aca="false">ROUND(AL18,0)</f>
        <v>0</v>
      </c>
      <c r="AN18" s="125" t="str">
        <f aca="false">METEO!CB40</f>
        <v> Ясно</v>
      </c>
      <c r="AO18" s="125" t="str">
        <f aca="false">METEO!CY40</f>
        <v>Без осадков</v>
      </c>
      <c r="AP18" s="126" t="str">
        <f aca="false" t="array" ref="AP18:AP18">INDEX(Service1!F72:F116,MATCH(Service2!AN18&amp;Service2!AO18,Service1!C72:C116&amp;Service1!D72:D116,0))</f>
        <v>iconMoon.mov</v>
      </c>
      <c r="AQ18" s="134" t="str">
        <f aca="false">CONCATENATE(L18,", ",U18,", ",AD18,", ",AM18)</f>
        <v>800, 53, 800, 0</v>
      </c>
    </row>
    <row r="19" customFormat="false" ht="15" hidden="false" customHeight="false" outlineLevel="0" collapsed="false">
      <c r="B19" s="140" t="s">
        <v>185</v>
      </c>
      <c r="C19" s="141" t="str">
        <f aca="false">CONCATENATE("День, ",TEXT(C6,"Д.ММ"))</f>
        <v>День, 5.10</v>
      </c>
      <c r="F19" s="116" t="str">
        <f aca="false">Service1!D11</f>
        <v>Полтавка</v>
      </c>
      <c r="G19" s="130" t="n">
        <f aca="false">METEO!T18</f>
        <v>16</v>
      </c>
      <c r="H19" s="122" t="str">
        <f aca="false">CONCATENATE(TEXT(G19,"+# ##0;-# ##0;0"),"°")</f>
        <v>+16°</v>
      </c>
      <c r="I19" s="131" t="n">
        <f aca="false">G19+800</f>
        <v>816</v>
      </c>
      <c r="J19" s="131" t="n">
        <f aca="false">I19-MIN(I19,R19,AA19,AJ19)</f>
        <v>16</v>
      </c>
      <c r="K19" s="132" t="n">
        <f aca="false">((800/MAX(J19,S19,AB19,AK19))*J19)</f>
        <v>711.111111111111</v>
      </c>
      <c r="L19" s="124" t="n">
        <f aca="false">ROUND(K19,0)</f>
        <v>711</v>
      </c>
      <c r="M19" s="125" t="str">
        <f aca="false">METEO!Z18</f>
        <v> Облачно</v>
      </c>
      <c r="N19" s="125" t="str">
        <f aca="false">METEO!AW18</f>
        <v>Без осадков</v>
      </c>
      <c r="O19" s="126" t="str">
        <f aca="false" t="array" ref="O19:O19">INDEX(Service1!E72:E116,MATCH(Service2!M19&amp;Service2!N19,Service1!C72:C116&amp;Service1!D72:D116,0))</f>
        <v>iconClouds.mov</v>
      </c>
      <c r="P19" s="130" t="n">
        <f aca="false">METEO!BV18</f>
        <v>0</v>
      </c>
      <c r="Q19" s="122" t="str">
        <f aca="false">CONCATENATE(TEXT(P19,"+# ##0;-# ##0;0"),"°")</f>
        <v>0°</v>
      </c>
      <c r="R19" s="131" t="n">
        <f aca="false">P19+800</f>
        <v>800</v>
      </c>
      <c r="S19" s="131" t="n">
        <f aca="false">R19-MIN(I19,R19,AA19,AJ19)</f>
        <v>0</v>
      </c>
      <c r="T19" s="132" t="n">
        <f aca="false">((800/MAX(J19,S19,AB19,AK19))*S19)</f>
        <v>0</v>
      </c>
      <c r="U19" s="124" t="n">
        <f aca="false">ROUND(T19,0)</f>
        <v>0</v>
      </c>
      <c r="V19" s="125" t="str">
        <f aca="false">METEO!CB18</f>
        <v> Облачно с прояснениями</v>
      </c>
      <c r="W19" s="125" t="str">
        <f aca="false">METEO!CY18</f>
        <v>Без осадков</v>
      </c>
      <c r="X19" s="126" t="str">
        <f aca="false" t="array" ref="X19:X19">INDEX(Service1!F72:F116,MATCH(Service2!V19&amp;Service2!W19,Service1!C72:C116&amp;Service1!D72:D116,0))</f>
        <v>iconCloudMoon.mov</v>
      </c>
      <c r="Y19" s="130" t="n">
        <f aca="false">METEO!T41</f>
        <v>18</v>
      </c>
      <c r="Z19" s="122" t="str">
        <f aca="false">CONCATENATE(TEXT(Y19,"+# ##0;-# ##0;0"),"°")</f>
        <v>+18°</v>
      </c>
      <c r="AA19" s="131" t="n">
        <f aca="false">Y19+800</f>
        <v>818</v>
      </c>
      <c r="AB19" s="133" t="n">
        <f aca="false">AA19-MIN(I19,R19,AA19,AJ19)</f>
        <v>18</v>
      </c>
      <c r="AC19" s="132" t="n">
        <f aca="false">((800/MAX(J19,S19,AB19,AK19))*AB19)</f>
        <v>800</v>
      </c>
      <c r="AD19" s="124" t="n">
        <f aca="false">ROUND(AC19,0)</f>
        <v>800</v>
      </c>
      <c r="AE19" s="125" t="str">
        <f aca="false">METEO!Z41</f>
        <v> Ясно</v>
      </c>
      <c r="AF19" s="125" t="str">
        <f aca="false">METEO!AW41</f>
        <v>Без осадков</v>
      </c>
      <c r="AG19" s="126" t="str">
        <f aca="false" t="array" ref="AG19:AG19">INDEX(Service1!E72:E116,MATCH(Service2!AE19&amp;Service2!AF19,Service1!C72:C116&amp;Service1!D72:D116,0))</f>
        <v>iconSun.mov</v>
      </c>
      <c r="AH19" s="130" t="n">
        <f aca="false">METEO!BV41</f>
        <v>0</v>
      </c>
      <c r="AI19" s="122" t="str">
        <f aca="false">CONCATENATE(TEXT(AH19,"+# ##0;-# ##0;0"),"°")</f>
        <v>0°</v>
      </c>
      <c r="AJ19" s="131" t="n">
        <f aca="false">AH19+800</f>
        <v>800</v>
      </c>
      <c r="AK19" s="131" t="n">
        <f aca="false">AJ19-MIN(I19,R19,AA19,AJ19)</f>
        <v>0</v>
      </c>
      <c r="AL19" s="132" t="n">
        <f aca="false">((800/MAX(J19,S19,AB19,AK19))*AK19)</f>
        <v>0</v>
      </c>
      <c r="AM19" s="124" t="n">
        <f aca="false">ROUND(AL19,0)</f>
        <v>0</v>
      </c>
      <c r="AN19" s="125" t="str">
        <f aca="false">METEO!CB41</f>
        <v> Ясно</v>
      </c>
      <c r="AO19" s="125" t="str">
        <f aca="false">METEO!CY41</f>
        <v>Без осадков</v>
      </c>
      <c r="AP19" s="126" t="str">
        <f aca="false" t="array" ref="AP19:AP19">INDEX(Service1!F72:F116,MATCH(Service2!AN19&amp;Service2!AO19,Service1!C72:C116&amp;Service1!D72:D116,0))</f>
        <v>iconMoon.mov</v>
      </c>
      <c r="AQ19" s="134" t="str">
        <f aca="false">CONCATENATE(L19,", ",U19,", ",AD19,", ",AM19)</f>
        <v>711, 0, 800, 0</v>
      </c>
    </row>
    <row r="20" customFormat="false" ht="15" hidden="false" customHeight="false" outlineLevel="0" collapsed="false">
      <c r="B20" s="142" t="s">
        <v>186</v>
      </c>
      <c r="C20" s="143" t="str">
        <f aca="false">CONCATENATE("Ночь, ",TEXT(C6,"Д.ММ"))</f>
        <v>Ночь, 5.10</v>
      </c>
      <c r="F20" s="116" t="str">
        <f aca="false">Service1!D12</f>
        <v>Русская Поляна</v>
      </c>
      <c r="G20" s="130" t="n">
        <f aca="false">METEO!T19</f>
        <v>15</v>
      </c>
      <c r="H20" s="122" t="str">
        <f aca="false">CONCATENATE(TEXT(G20,"+# ##0;-# ##0;0"),"°")</f>
        <v>+15°</v>
      </c>
      <c r="I20" s="131" t="n">
        <f aca="false">G20+800</f>
        <v>815</v>
      </c>
      <c r="J20" s="131" t="n">
        <f aca="false">I20-MIN(I20,R20,AA20,AJ20)</f>
        <v>14</v>
      </c>
      <c r="K20" s="132" t="n">
        <f aca="false">((800/MAX(J20,S20,AB20,AK20))*J20)</f>
        <v>700</v>
      </c>
      <c r="L20" s="124" t="n">
        <f aca="false">ROUND(K20,0)</f>
        <v>700</v>
      </c>
      <c r="M20" s="125" t="str">
        <f aca="false">METEO!Z19</f>
        <v> Облачно с прояснениями</v>
      </c>
      <c r="N20" s="125" t="str">
        <f aca="false">METEO!AW19</f>
        <v>Без осадков</v>
      </c>
      <c r="O20" s="126" t="str">
        <f aca="false" t="array" ref="O20:O20">INDEX(Service1!E72:E116,MATCH(Service2!M20&amp;Service2!N20,Service1!C72:C116&amp;Service1!D72:D116,0))</f>
        <v>iconCloudSun.mov</v>
      </c>
      <c r="P20" s="130" t="n">
        <f aca="false">METEO!BV19</f>
        <v>1</v>
      </c>
      <c r="Q20" s="122" t="str">
        <f aca="false">CONCATENATE(TEXT(P20,"+# ##0;-# ##0;0"),"°")</f>
        <v>+1°</v>
      </c>
      <c r="R20" s="131" t="n">
        <f aca="false">P20+800</f>
        <v>801</v>
      </c>
      <c r="S20" s="131" t="n">
        <f aca="false">R20-MIN(I20,R20,AA20,AJ20)</f>
        <v>0</v>
      </c>
      <c r="T20" s="132" t="n">
        <f aca="false">((800/MAX(J20,S20,AB20,AK20))*S20)</f>
        <v>0</v>
      </c>
      <c r="U20" s="124" t="n">
        <f aca="false">ROUND(T20,0)</f>
        <v>0</v>
      </c>
      <c r="V20" s="125" t="str">
        <f aca="false">METEO!CB19</f>
        <v> Переменная облачность</v>
      </c>
      <c r="W20" s="125" t="str">
        <f aca="false">METEO!CY19</f>
        <v>Без осадков</v>
      </c>
      <c r="X20" s="126" t="str">
        <f aca="false" t="array" ref="X20:X20">INDEX(Service1!F72:F116,MATCH(Service2!V20&amp;Service2!W20,Service1!C72:C116&amp;Service1!D72:D116,0))</f>
        <v>iconCloudMoon.mov</v>
      </c>
      <c r="Y20" s="130" t="n">
        <f aca="false">METEO!T42</f>
        <v>17</v>
      </c>
      <c r="Z20" s="122" t="str">
        <f aca="false">CONCATENATE(TEXT(Y20,"+# ##0;-# ##0;0"),"°")</f>
        <v>+17°</v>
      </c>
      <c r="AA20" s="131" t="n">
        <f aca="false">Y20+800</f>
        <v>817</v>
      </c>
      <c r="AB20" s="133" t="n">
        <f aca="false">AA20-MIN(I20,R20,AA20,AJ20)</f>
        <v>16</v>
      </c>
      <c r="AC20" s="132" t="n">
        <f aca="false">((800/MAX(J20,S20,AB20,AK20))*AB20)</f>
        <v>800</v>
      </c>
      <c r="AD20" s="124" t="n">
        <f aca="false">ROUND(AC20,0)</f>
        <v>800</v>
      </c>
      <c r="AE20" s="125" t="str">
        <f aca="false">METEO!Z42</f>
        <v> Ясно</v>
      </c>
      <c r="AF20" s="125" t="str">
        <f aca="false">METEO!AW42</f>
        <v>Без осадков</v>
      </c>
      <c r="AG20" s="126" t="str">
        <f aca="false" t="array" ref="AG20:AG20">INDEX(Service1!E72:E116,MATCH(Service2!AE20&amp;Service2!AF20,Service1!C72:C116&amp;Service1!D72:D116,0))</f>
        <v>iconSun.mov</v>
      </c>
      <c r="AH20" s="130" t="n">
        <f aca="false">METEO!BV42</f>
        <v>2</v>
      </c>
      <c r="AI20" s="122" t="str">
        <f aca="false">CONCATENATE(TEXT(AH20,"+# ##0;-# ##0;0"),"°")</f>
        <v>+2°</v>
      </c>
      <c r="AJ20" s="131" t="n">
        <f aca="false">AH20+800</f>
        <v>802</v>
      </c>
      <c r="AK20" s="131" t="n">
        <f aca="false">AJ20-MIN(I20,R20,AA20,AJ20)</f>
        <v>1</v>
      </c>
      <c r="AL20" s="132" t="n">
        <f aca="false">((800/MAX(J20,S20,AB20,AK20))*AK20)</f>
        <v>50</v>
      </c>
      <c r="AM20" s="124" t="n">
        <f aca="false">ROUND(AL20,0)</f>
        <v>50</v>
      </c>
      <c r="AN20" s="125" t="str">
        <f aca="false">METEO!CB42</f>
        <v> Ясно</v>
      </c>
      <c r="AO20" s="125" t="str">
        <f aca="false">METEO!CY42</f>
        <v>Без осадков</v>
      </c>
      <c r="AP20" s="126" t="str">
        <f aca="false" t="array" ref="AP20:AP20">INDEX(Service1!F72:F116,MATCH(Service2!AN20&amp;Service2!AO20,Service1!C72:C116&amp;Service1!D72:D116,0))</f>
        <v>iconMoon.mov</v>
      </c>
      <c r="AQ20" s="134" t="str">
        <f aca="false">CONCATENATE(L20,", ",U20,", ",AD20,", ",AM20)</f>
        <v>700, 0, 800, 50</v>
      </c>
    </row>
    <row r="21" customFormat="false" ht="15" hidden="false" customHeight="false" outlineLevel="0" collapsed="false">
      <c r="B21" s="144" t="s">
        <v>187</v>
      </c>
      <c r="C21" s="145" t="str">
        <f aca="false">CONCATENATE("Прогноз на ",VLOOKUP(C7,Таблица4[],3,FALSE())," и ",VLOOKUP(C8,Таблица4[],3,FALSE()))</f>
        <v>Прогноз на пятницу и субботу</v>
      </c>
      <c r="F21" s="116" t="str">
        <f aca="false">Service1!D13</f>
        <v>Черлак</v>
      </c>
      <c r="G21" s="130" t="n">
        <f aca="false">METEO!T20</f>
        <v>16</v>
      </c>
      <c r="H21" s="122" t="str">
        <f aca="false">CONCATENATE(TEXT(G21,"+# ##0;-# ##0;0"),"°")</f>
        <v>+16°</v>
      </c>
      <c r="I21" s="131" t="n">
        <f aca="false">G21+800</f>
        <v>816</v>
      </c>
      <c r="J21" s="131" t="n">
        <f aca="false">I21-MIN(I21,R21,AA21,AJ21)</f>
        <v>15</v>
      </c>
      <c r="K21" s="132" t="n">
        <f aca="false">((800/MAX(J21,S21,AB21,AK21))*J21)</f>
        <v>750</v>
      </c>
      <c r="L21" s="124" t="n">
        <f aca="false">ROUND(K21,0)</f>
        <v>750</v>
      </c>
      <c r="M21" s="125" t="str">
        <f aca="false">METEO!Z20</f>
        <v> Облачно</v>
      </c>
      <c r="N21" s="125" t="str">
        <f aca="false">METEO!AW20</f>
        <v>Без осадков</v>
      </c>
      <c r="O21" s="126" t="str">
        <f aca="false" t="array" ref="O21:O21">INDEX(Service1!E72:E116,MATCH(Service2!M21&amp;Service2!N21,Service1!C72:C116&amp;Service1!D72:D116,0))</f>
        <v>iconClouds.mov</v>
      </c>
      <c r="P21" s="130" t="n">
        <f aca="false">METEO!BV20</f>
        <v>1</v>
      </c>
      <c r="Q21" s="122" t="str">
        <f aca="false">CONCATENATE(TEXT(P21,"+# ##0;-# ##0;0"),"°")</f>
        <v>+1°</v>
      </c>
      <c r="R21" s="131" t="n">
        <f aca="false">P21+800</f>
        <v>801</v>
      </c>
      <c r="S21" s="131" t="n">
        <f aca="false">R21-MIN(I21,R21,AA21,AJ21)</f>
        <v>0</v>
      </c>
      <c r="T21" s="132" t="n">
        <f aca="false">((800/MAX(J21,S21,AB21,AK21))*S21)</f>
        <v>0</v>
      </c>
      <c r="U21" s="124" t="n">
        <f aca="false">ROUND(T21,0)</f>
        <v>0</v>
      </c>
      <c r="V21" s="125" t="str">
        <f aca="false">METEO!CB20</f>
        <v> Переменная облачность</v>
      </c>
      <c r="W21" s="125" t="str">
        <f aca="false">METEO!CY20</f>
        <v>Без осадков</v>
      </c>
      <c r="X21" s="126" t="str">
        <f aca="false" t="array" ref="X21:X21">INDEX(Service1!F72:F116,MATCH(Service2!V21&amp;Service2!W21,Service1!C72:C116&amp;Service1!D72:D116,0))</f>
        <v>iconCloudMoon.mov</v>
      </c>
      <c r="Y21" s="130" t="n">
        <f aca="false">METEO!T43</f>
        <v>17</v>
      </c>
      <c r="Z21" s="122" t="str">
        <f aca="false">CONCATENATE(TEXT(Y21,"+# ##0;-# ##0;0"),"°")</f>
        <v>+17°</v>
      </c>
      <c r="AA21" s="131" t="n">
        <f aca="false">Y21+800</f>
        <v>817</v>
      </c>
      <c r="AB21" s="133" t="n">
        <f aca="false">AA21-MIN(I21,R21,AA21,AJ21)</f>
        <v>16</v>
      </c>
      <c r="AC21" s="132" t="n">
        <f aca="false">((800/MAX(J21,S21,AB21,AK21))*AB21)</f>
        <v>800</v>
      </c>
      <c r="AD21" s="124" t="n">
        <f aca="false">ROUND(AC21,0)</f>
        <v>800</v>
      </c>
      <c r="AE21" s="125" t="str">
        <f aca="false">METEO!Z43</f>
        <v> Ясно</v>
      </c>
      <c r="AF21" s="125" t="str">
        <f aca="false">METEO!AW43</f>
        <v>Без осадков</v>
      </c>
      <c r="AG21" s="126" t="str">
        <f aca="false" t="array" ref="AG21:AG21">INDEX(Service1!E72:E116,MATCH(Service2!AE21&amp;Service2!AF21,Service1!C72:C116&amp;Service1!D72:D116,0))</f>
        <v>iconSun.mov</v>
      </c>
      <c r="AH21" s="130" t="n">
        <f aca="false">METEO!BV43</f>
        <v>2</v>
      </c>
      <c r="AI21" s="122" t="str">
        <f aca="false">CONCATENATE(TEXT(AH21,"+# ##0;-# ##0;0"),"°")</f>
        <v>+2°</v>
      </c>
      <c r="AJ21" s="131" t="n">
        <f aca="false">AH21+800</f>
        <v>802</v>
      </c>
      <c r="AK21" s="131" t="n">
        <f aca="false">AJ21-MIN(I21,R21,AA21,AJ21)</f>
        <v>1</v>
      </c>
      <c r="AL21" s="132" t="n">
        <f aca="false">((800/MAX(J21,S21,AB21,AK21))*AK21)</f>
        <v>50</v>
      </c>
      <c r="AM21" s="124" t="n">
        <f aca="false">ROUND(AL21,0)</f>
        <v>50</v>
      </c>
      <c r="AN21" s="125" t="str">
        <f aca="false">METEO!CB43</f>
        <v> Ясно</v>
      </c>
      <c r="AO21" s="125" t="str">
        <f aca="false">METEO!CY43</f>
        <v>Без осадков</v>
      </c>
      <c r="AP21" s="126" t="str">
        <f aca="false" t="array" ref="AP21:AP21">INDEX(Service1!F72:F116,MATCH(Service2!AN21&amp;Service2!AO21,Service1!C72:C116&amp;Service1!D72:D116,0))</f>
        <v>iconMoon.mov</v>
      </c>
      <c r="AQ21" s="134" t="str">
        <f aca="false">CONCATENATE(L21,", ",U21,", ",AD21,", ",AM21)</f>
        <v>750, 0, 800, 50</v>
      </c>
    </row>
    <row r="22" customFormat="false" ht="15" hidden="false" customHeight="false" outlineLevel="0" collapsed="false">
      <c r="F22" s="116" t="str">
        <f aca="false">Service1!D14</f>
        <v>Одесское</v>
      </c>
      <c r="G22" s="130" t="n">
        <f aca="false">METEO!T21</f>
        <v>16</v>
      </c>
      <c r="H22" s="122" t="str">
        <f aca="false">CONCATENATE(TEXT(G22,"+# ##0;-# ##0;0"),"°")</f>
        <v>+16°</v>
      </c>
      <c r="I22" s="131" t="n">
        <f aca="false">G22+800</f>
        <v>816</v>
      </c>
      <c r="J22" s="131" t="n">
        <f aca="false">I22-MIN(I22,R22,AA22,AJ22)</f>
        <v>15</v>
      </c>
      <c r="K22" s="132" t="n">
        <f aca="false">((800/MAX(J22,S22,AB22,AK22))*J22)</f>
        <v>750</v>
      </c>
      <c r="L22" s="124" t="n">
        <f aca="false">ROUND(K22,0)</f>
        <v>750</v>
      </c>
      <c r="M22" s="125" t="str">
        <f aca="false">METEO!Z21</f>
        <v> Облачно</v>
      </c>
      <c r="N22" s="125" t="str">
        <f aca="false">METEO!AW21</f>
        <v>Без осадков</v>
      </c>
      <c r="O22" s="126" t="str">
        <f aca="false" t="array" ref="O22:O22">INDEX(Service1!E72:E116,MATCH(Service2!M22&amp;Service2!N22,Service1!C72:C116&amp;Service1!D72:D116,0))</f>
        <v>iconClouds.mov</v>
      </c>
      <c r="P22" s="130" t="n">
        <f aca="false">METEO!BV21</f>
        <v>1</v>
      </c>
      <c r="Q22" s="122" t="str">
        <f aca="false">CONCATENATE(TEXT(P22,"+# ##0;-# ##0;0"),"°")</f>
        <v>+1°</v>
      </c>
      <c r="R22" s="131" t="n">
        <f aca="false">P22+800</f>
        <v>801</v>
      </c>
      <c r="S22" s="131" t="n">
        <f aca="false">R22-MIN(I22,R22,AA22,AJ22)</f>
        <v>0</v>
      </c>
      <c r="T22" s="132" t="n">
        <f aca="false">((800/MAX(J22,S22,AB22,AK22))*S22)</f>
        <v>0</v>
      </c>
      <c r="U22" s="124" t="n">
        <f aca="false">ROUND(T22,0)</f>
        <v>0</v>
      </c>
      <c r="V22" s="125" t="str">
        <f aca="false">METEO!CB21</f>
        <v> Переменная облачность</v>
      </c>
      <c r="W22" s="125" t="str">
        <f aca="false">METEO!CY21</f>
        <v>Без осадков</v>
      </c>
      <c r="X22" s="126" t="str">
        <f aca="false" t="array" ref="X22:X22">INDEX(Service1!F72:F116,MATCH(Service2!V22&amp;Service2!W22,Service1!C72:C116&amp;Service1!D72:D116,0))</f>
        <v>iconCloudMoon.mov</v>
      </c>
      <c r="Y22" s="130" t="n">
        <f aca="false">METEO!T44</f>
        <v>17</v>
      </c>
      <c r="Z22" s="122" t="str">
        <f aca="false">CONCATENATE(TEXT(Y22,"+# ##0;-# ##0;0"),"°")</f>
        <v>+17°</v>
      </c>
      <c r="AA22" s="131" t="n">
        <f aca="false">Y22+800</f>
        <v>817</v>
      </c>
      <c r="AB22" s="133" t="n">
        <f aca="false">AA22-MIN(I22,R22,AA22,AJ22)</f>
        <v>16</v>
      </c>
      <c r="AC22" s="132" t="n">
        <f aca="false">((800/MAX(J22,S22,AB22,AK22))*AB22)</f>
        <v>800</v>
      </c>
      <c r="AD22" s="124" t="n">
        <f aca="false">ROUND(AC22,0)</f>
        <v>800</v>
      </c>
      <c r="AE22" s="125" t="str">
        <f aca="false">METEO!Z44</f>
        <v> Ясно</v>
      </c>
      <c r="AF22" s="125" t="str">
        <f aca="false">METEO!AW44</f>
        <v>Без осадков</v>
      </c>
      <c r="AG22" s="126" t="str">
        <f aca="false" t="array" ref="AG22:AG22">INDEX(Service1!E72:E116,MATCH(Service2!AE22&amp;Service2!AF22,Service1!C72:C116&amp;Service1!D72:D116,0))</f>
        <v>iconSun.mov</v>
      </c>
      <c r="AH22" s="130" t="n">
        <f aca="false">METEO!BV44</f>
        <v>1</v>
      </c>
      <c r="AI22" s="122" t="str">
        <f aca="false">CONCATENATE(TEXT(AH22,"+# ##0;-# ##0;0"),"°")</f>
        <v>+1°</v>
      </c>
      <c r="AJ22" s="131" t="n">
        <f aca="false">AH22+800</f>
        <v>801</v>
      </c>
      <c r="AK22" s="131" t="n">
        <f aca="false">AJ22-MIN(I22,R22,AA22,AJ22)</f>
        <v>0</v>
      </c>
      <c r="AL22" s="132" t="n">
        <f aca="false">((800/MAX(J22,S22,AB22,AK22))*AK22)</f>
        <v>0</v>
      </c>
      <c r="AM22" s="124" t="n">
        <f aca="false">ROUND(AL22,0)</f>
        <v>0</v>
      </c>
      <c r="AN22" s="125" t="str">
        <f aca="false">METEO!CB44</f>
        <v> Ясно</v>
      </c>
      <c r="AO22" s="125" t="str">
        <f aca="false">METEO!CY44</f>
        <v>Без осадков</v>
      </c>
      <c r="AP22" s="126" t="str">
        <f aca="false" t="array" ref="AP22:AP22">INDEX(Service1!F72:F116,MATCH(Service2!AN22&amp;Service2!AO22,Service1!C72:C116&amp;Service1!D72:D116,0))</f>
        <v>iconMoon.mov</v>
      </c>
      <c r="AQ22" s="134" t="str">
        <f aca="false">CONCATENATE(L22,", ",U22,", ",AD22,", ",AM22)</f>
        <v>750, 0, 800, 0</v>
      </c>
    </row>
    <row r="23" customFormat="false" ht="15" hidden="false" customHeight="false" outlineLevel="0" collapsed="false">
      <c r="B23" s="146" t="s">
        <v>188</v>
      </c>
      <c r="C23" s="147" t="str">
        <f aca="false">CONCATENATE("Погода в ",Service1!M16)</f>
        <v>Погода в Омской области</v>
      </c>
      <c r="D23" s="5"/>
      <c r="F23" s="116" t="str">
        <f aca="false">Service1!D15</f>
        <v>Павлоградка</v>
      </c>
      <c r="G23" s="148" t="n">
        <f aca="false">METEO!T22</f>
        <v>16</v>
      </c>
      <c r="H23" s="149" t="str">
        <f aca="false">CONCATENATE(TEXT(G23,"+# ##0;-# ##0;0"),"°")</f>
        <v>+16°</v>
      </c>
      <c r="I23" s="150" t="n">
        <f aca="false">G23+800</f>
        <v>816</v>
      </c>
      <c r="J23" s="150" t="n">
        <f aca="false">I23-MIN(I23,R23,AA23,AJ23)</f>
        <v>15</v>
      </c>
      <c r="K23" s="151" t="n">
        <f aca="false">((800/MAX(J23,S23,AB23,AK23))*J23)</f>
        <v>750</v>
      </c>
      <c r="L23" s="152" t="n">
        <f aca="false">ROUND(K23,0)</f>
        <v>750</v>
      </c>
      <c r="M23" s="153" t="str">
        <f aca="false">METEO!Z22</f>
        <v> Облачно</v>
      </c>
      <c r="N23" s="153" t="str">
        <f aca="false">METEO!AW22</f>
        <v>Без осадков</v>
      </c>
      <c r="O23" s="154" t="str">
        <f aca="false" t="array" ref="O23:O23">INDEX(Service1!E72:E116,MATCH(Service2!M23&amp;Service2!N23,Service1!C72:C116&amp;Service1!D72:D116,0))</f>
        <v>iconClouds.mov</v>
      </c>
      <c r="P23" s="148" t="n">
        <f aca="false">METEO!BV22</f>
        <v>1</v>
      </c>
      <c r="Q23" s="149" t="str">
        <f aca="false">CONCATENATE(TEXT(P23,"+# ##0;-# ##0;0"),"°")</f>
        <v>+1°</v>
      </c>
      <c r="R23" s="150" t="n">
        <f aca="false">P23+800</f>
        <v>801</v>
      </c>
      <c r="S23" s="150" t="n">
        <f aca="false">R23-MIN(I23,R23,AA23,AJ23)</f>
        <v>0</v>
      </c>
      <c r="T23" s="151" t="n">
        <f aca="false">((800/MAX(J23,S23,AB23,AK23))*S23)</f>
        <v>0</v>
      </c>
      <c r="U23" s="152" t="n">
        <f aca="false">ROUND(T23,0)</f>
        <v>0</v>
      </c>
      <c r="V23" s="153" t="str">
        <f aca="false">METEO!CB22</f>
        <v> Переменная облачность</v>
      </c>
      <c r="W23" s="153" t="str">
        <f aca="false">METEO!CY22</f>
        <v>Без осадков</v>
      </c>
      <c r="X23" s="154" t="str">
        <f aca="false" t="array" ref="X23:X23">INDEX(Service1!F72:F116,MATCH(Service2!V23&amp;Service2!W23,Service1!C72:C116&amp;Service1!D72:D116,0))</f>
        <v>iconCloudMoon.mov</v>
      </c>
      <c r="Y23" s="148" t="n">
        <f aca="false">METEO!T45</f>
        <v>17</v>
      </c>
      <c r="Z23" s="149" t="str">
        <f aca="false">CONCATENATE(TEXT(Y23,"+# ##0;-# ##0;0"),"°")</f>
        <v>+17°</v>
      </c>
      <c r="AA23" s="150" t="n">
        <f aca="false">Y23+800</f>
        <v>817</v>
      </c>
      <c r="AB23" s="155" t="n">
        <f aca="false">AA23-MIN(I23,R23,AA23,AJ23)</f>
        <v>16</v>
      </c>
      <c r="AC23" s="151" t="n">
        <f aca="false">((800/MAX(J23,S23,AB23,AK23))*AB23)</f>
        <v>800</v>
      </c>
      <c r="AD23" s="152" t="n">
        <f aca="false">ROUND(AC23,0)</f>
        <v>800</v>
      </c>
      <c r="AE23" s="153" t="str">
        <f aca="false">METEO!Z45</f>
        <v> Ясно</v>
      </c>
      <c r="AF23" s="153" t="str">
        <f aca="false">METEO!AW45</f>
        <v>Без осадков</v>
      </c>
      <c r="AG23" s="154" t="str">
        <f aca="false" t="array" ref="AG23:AG23">INDEX(Service1!E72:E116,MATCH(Service2!AE23&amp;Service2!AF23,Service1!C72:C116&amp;Service1!D72:D116,0))</f>
        <v>iconSun.mov</v>
      </c>
      <c r="AH23" s="148" t="n">
        <f aca="false">METEO!BV45</f>
        <v>1</v>
      </c>
      <c r="AI23" s="149" t="str">
        <f aca="false">CONCATENATE(TEXT(AH23,"+# ##0;-# ##0;0"),"°")</f>
        <v>+1°</v>
      </c>
      <c r="AJ23" s="150" t="n">
        <f aca="false">AH23+800</f>
        <v>801</v>
      </c>
      <c r="AK23" s="150" t="n">
        <f aca="false">AJ23-MIN(I23,R23,AA23,AJ23)</f>
        <v>0</v>
      </c>
      <c r="AL23" s="151" t="n">
        <f aca="false">((800/MAX(J23,S23,AB23,AK23))*AK23)</f>
        <v>0</v>
      </c>
      <c r="AM23" s="152" t="n">
        <f aca="false">ROUND(AL23,0)</f>
        <v>0</v>
      </c>
      <c r="AN23" s="153" t="str">
        <f aca="false">METEO!CB45</f>
        <v> Ясно</v>
      </c>
      <c r="AO23" s="153" t="str">
        <f aca="false">METEO!CY45</f>
        <v>Без осадков</v>
      </c>
      <c r="AP23" s="154" t="str">
        <f aca="false" t="array" ref="AP23:AP23">INDEX(Service1!F72:F116,MATCH(Service2!AN23&amp;Service2!AO23,Service1!C72:C116&amp;Service1!D72:D116,0))</f>
        <v>iconMoon.mov</v>
      </c>
      <c r="AQ23" s="156" t="str">
        <f aca="false">CONCATENATE(L23,", ",U23,", ",AD23,", ",AM23)</f>
        <v>750, 0, 800, 0</v>
      </c>
    </row>
    <row r="24" customFormat="false" ht="15" hidden="false" customHeight="false" outlineLevel="0" collapsed="false">
      <c r="B24" s="146" t="s">
        <v>189</v>
      </c>
      <c r="C24" s="147" t="str">
        <f aca="false">CONCATENATE("Погода в ",Service1!M17)</f>
        <v>Погода в Омске</v>
      </c>
      <c r="D24" s="5"/>
      <c r="Q24" s="1"/>
      <c r="R24" s="1"/>
      <c r="S24" s="1"/>
      <c r="T24" s="1"/>
      <c r="U24" s="1"/>
      <c r="V24" s="1"/>
      <c r="W24" s="1"/>
      <c r="X24" s="1"/>
    </row>
    <row r="25" customFormat="false" ht="15" hidden="false" customHeight="false" outlineLevel="0" collapsed="false">
      <c r="B25" s="146" t="s">
        <v>190</v>
      </c>
      <c r="C25" s="157" t="str">
        <f aca="false">CONCATENATE("По информации ",Service1!M19)</f>
        <v>По информации Омского гидрометцентра</v>
      </c>
      <c r="D25" s="5"/>
      <c r="Q25" s="1"/>
      <c r="R25" s="1"/>
      <c r="S25" s="1"/>
      <c r="T25" s="1"/>
      <c r="U25" s="1"/>
      <c r="V25" s="1"/>
      <c r="W25" s="1"/>
      <c r="X25" s="1"/>
    </row>
    <row r="26" customFormat="false" ht="15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58"/>
      <c r="N26" s="158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customFormat="false" ht="15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59"/>
      <c r="K27" s="1"/>
      <c r="L27" s="159"/>
      <c r="M27" s="158"/>
      <c r="N27" s="158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customFormat="false" ht="15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58"/>
      <c r="N28" s="158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customFormat="false" ht="15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59"/>
      <c r="L29" s="159"/>
      <c r="M29" s="158"/>
      <c r="N29" s="158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customFormat="false" ht="15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8"/>
      <c r="N30" s="158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customFormat="false" ht="15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8"/>
      <c r="N31" s="158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customFormat="false" ht="15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8"/>
      <c r="N32" s="158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customFormat="false" ht="15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8"/>
      <c r="N33" s="158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customFormat="false" ht="15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82"/>
      <c r="J34" s="1"/>
      <c r="K34" s="1"/>
      <c r="L34" s="1"/>
      <c r="M34" s="158"/>
      <c r="N34" s="158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customFormat="false" ht="15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8"/>
      <c r="N35" s="158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customFormat="false" ht="15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8"/>
      <c r="N36" s="158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customFormat="false" ht="15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8"/>
      <c r="N37" s="158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customFormat="false" ht="15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8"/>
      <c r="N38" s="158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customFormat="false" ht="15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8"/>
      <c r="N39" s="158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customFormat="false" ht="15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8"/>
      <c r="N40" s="158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customFormat="false" ht="15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8"/>
      <c r="N41" s="158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customFormat="false" ht="15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8"/>
      <c r="N42" s="158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customFormat="false" ht="15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8"/>
      <c r="N43" s="158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customFormat="false" ht="15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8"/>
      <c r="N44" s="158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customFormat="false" ht="15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8"/>
      <c r="N45" s="158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customFormat="false" ht="15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8"/>
      <c r="N46" s="15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customFormat="false" ht="15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8"/>
      <c r="N47" s="158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customFormat="false" ht="15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8"/>
      <c r="N48" s="158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customFormat="false" ht="15" hidden="false" customHeight="false" outlineLevel="0" collapsed="false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8"/>
      <c r="N49" s="158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customFormat="false" ht="15" hidden="false" customHeight="false" outlineLevel="0" collapsed="false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8"/>
      <c r="N50" s="158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customFormat="false" ht="15" hidden="false" customHeight="false" outlineLevel="0" collapsed="false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58"/>
      <c r="N51" s="158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customFormat="false" ht="15" hidden="false" customHeight="false" outlineLevel="0" collapsed="false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58"/>
      <c r="N52" s="158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customFormat="false" ht="15" hidden="false" customHeight="false" outlineLevel="0" collapsed="false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58"/>
      <c r="N53" s="158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customFormat="false" ht="15" hidden="false" customHeight="false" outlineLevel="0" collapsed="false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58"/>
      <c r="N54" s="158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customFormat="false" ht="15" hidden="false" customHeight="false" outlineLevel="0" collapsed="false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58"/>
      <c r="N55" s="158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customFormat="false" ht="15" hidden="false" customHeight="false" outlineLevel="0" collapsed="false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58"/>
      <c r="N56" s="158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customFormat="false" ht="15" hidden="false" customHeight="false" outlineLevel="0" collapsed="false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58"/>
      <c r="N57" s="158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customFormat="false" ht="15" hidden="false" customHeight="false" outlineLevel="0" collapsed="false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58"/>
      <c r="N58" s="158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customFormat="false" ht="15" hidden="false" customHeight="false" outlineLevel="0" collapsed="false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58"/>
      <c r="N59" s="158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customFormat="false" ht="15" hidden="false" customHeight="false" outlineLevel="0" collapsed="false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58"/>
      <c r="N60" s="158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customFormat="false" ht="15" hidden="false" customHeight="false" outlineLevel="0" collapsed="false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58"/>
      <c r="N61" s="158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customFormat="false" ht="15" hidden="false" customHeight="false" outlineLevel="0" collapsed="false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58"/>
      <c r="N62" s="158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customFormat="false" ht="15" hidden="false" customHeight="false" outlineLevel="0" collapsed="false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58"/>
      <c r="N63" s="158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customFormat="false" ht="15" hidden="false" customHeight="false" outlineLevel="0" collapsed="false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58"/>
      <c r="N64" s="158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customFormat="false" ht="15" hidden="false" customHeight="false" outlineLevel="0" collapsed="false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58"/>
      <c r="N65" s="158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customFormat="false" ht="15" hidden="false" customHeight="false" outlineLevel="0" collapsed="false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58"/>
      <c r="N66" s="158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customFormat="false" ht="15" hidden="false" customHeight="false" outlineLevel="0" collapsed="false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58"/>
      <c r="N67" s="158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customFormat="false" ht="15" hidden="false" customHeight="false" outlineLevel="0" collapsed="false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58"/>
      <c r="N68" s="158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customFormat="false" ht="15" hidden="false" customHeight="false" outlineLevel="0" collapsed="false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58"/>
      <c r="N69" s="158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customFormat="false" ht="15" hidden="false" customHeight="false" outlineLevel="0" collapsed="false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58"/>
      <c r="N70" s="158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customFormat="false" ht="15" hidden="false" customHeight="false" outlineLevel="0" collapsed="false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58"/>
      <c r="N71" s="158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customFormat="false" ht="15" hidden="false" customHeight="false" outlineLevel="0" collapsed="false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58"/>
      <c r="N72" s="158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customFormat="false" ht="15" hidden="false" customHeight="false" outlineLevel="0" collapsed="false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58"/>
      <c r="N73" s="158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customFormat="false" ht="15" hidden="false" customHeight="false" outlineLevel="0" collapsed="false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58"/>
      <c r="N74" s="158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customFormat="false" ht="15" hidden="false" customHeight="false" outlineLevel="0" collapsed="false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58"/>
      <c r="N75" s="158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customFormat="false" ht="15" hidden="false" customHeight="false" outlineLevel="0" collapsed="false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58"/>
      <c r="N76" s="158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customFormat="false" ht="15" hidden="false" customHeight="false" outlineLevel="0" collapsed="false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58"/>
      <c r="N77" s="158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customFormat="false" ht="15" hidden="false" customHeight="false" outlineLevel="0" collapsed="false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58"/>
      <c r="N78" s="158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customFormat="false" ht="15" hidden="false" customHeight="false" outlineLevel="0" collapsed="false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58"/>
      <c r="N79" s="158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customFormat="false" ht="15" hidden="false" customHeight="false" outlineLevel="0" collapsed="false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58"/>
      <c r="N80" s="158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customFormat="false" ht="15" hidden="false" customHeight="false" outlineLevel="0" collapsed="false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58"/>
      <c r="N81" s="158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customFormat="false" ht="15" hidden="false" customHeight="false" outlineLevel="0" collapsed="false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58"/>
      <c r="N82" s="158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customFormat="false" ht="15" hidden="false" customHeight="false" outlineLevel="0" collapsed="false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58"/>
      <c r="N83" s="158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customFormat="false" ht="15" hidden="false" customHeight="false" outlineLevel="0" collapsed="false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58"/>
      <c r="N84" s="158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customFormat="false" ht="15" hidden="false" customHeight="false" outlineLevel="0" collapsed="false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58"/>
      <c r="N85" s="158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customFormat="false" ht="15" hidden="false" customHeight="false" outlineLevel="0" collapsed="false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58"/>
      <c r="N86" s="158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customFormat="false" ht="15" hidden="false" customHeight="false" outlineLevel="0" collapsed="false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58"/>
      <c r="N87" s="158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customFormat="false" ht="15" hidden="false" customHeight="false" outlineLevel="0" collapsed="false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58"/>
      <c r="N88" s="158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customFormat="false" ht="15" hidden="false" customHeight="false" outlineLevel="0" collapsed="false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58"/>
      <c r="N89" s="158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customFormat="false" ht="15" hidden="false" customHeight="false" outlineLevel="0" collapsed="false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58"/>
      <c r="N90" s="158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customFormat="false" ht="15" hidden="false" customHeight="false" outlineLevel="0" collapsed="false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58"/>
      <c r="N91" s="158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customFormat="false" ht="15" hidden="false" customHeight="false" outlineLevel="0" collapsed="false">
      <c r="F92" s="1"/>
      <c r="G92" s="1"/>
      <c r="H92" s="1"/>
      <c r="I92" s="1"/>
      <c r="J92" s="1"/>
      <c r="K92" s="1"/>
      <c r="L92" s="1"/>
      <c r="M92" s="158"/>
      <c r="N92" s="158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customFormat="false" ht="15" hidden="false" customHeight="false" outlineLevel="0" collapsed="false">
      <c r="F93" s="1"/>
      <c r="G93" s="1"/>
      <c r="H93" s="1"/>
      <c r="I93" s="1"/>
      <c r="J93" s="1"/>
      <c r="K93" s="1"/>
      <c r="L93" s="1"/>
      <c r="M93" s="158"/>
      <c r="N93" s="158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customFormat="false" ht="15" hidden="false" customHeight="false" outlineLevel="0" collapsed="false">
      <c r="F94" s="1"/>
      <c r="G94" s="1"/>
      <c r="H94" s="1"/>
      <c r="I94" s="1"/>
      <c r="J94" s="1"/>
      <c r="K94" s="1"/>
      <c r="L94" s="1"/>
      <c r="M94" s="158"/>
      <c r="N94" s="158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customFormat="false" ht="15" hidden="false" customHeight="false" outlineLevel="0" collapsed="false">
      <c r="F95" s="1"/>
      <c r="G95" s="1"/>
      <c r="H95" s="1"/>
      <c r="I95" s="1"/>
      <c r="J95" s="1"/>
      <c r="K95" s="1"/>
      <c r="L95" s="1"/>
      <c r="M95" s="158"/>
      <c r="N95" s="158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customFormat="false" ht="15" hidden="false" customHeight="false" outlineLevel="0" collapsed="false">
      <c r="F96" s="1"/>
      <c r="G96" s="1"/>
      <c r="H96" s="1"/>
      <c r="I96" s="1"/>
      <c r="J96" s="1"/>
      <c r="K96" s="1"/>
      <c r="L96" s="1"/>
      <c r="M96" s="158"/>
      <c r="N96" s="158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customFormat="false" ht="15" hidden="false" customHeight="false" outlineLevel="0" collapsed="false">
      <c r="F97" s="1"/>
      <c r="G97" s="1"/>
      <c r="H97" s="1"/>
      <c r="I97" s="1"/>
      <c r="J97" s="1"/>
      <c r="K97" s="1"/>
      <c r="L97" s="1"/>
      <c r="M97" s="158"/>
      <c r="N97" s="158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customFormat="false" ht="15" hidden="false" customHeight="false" outlineLevel="0" collapsed="false">
      <c r="F98" s="1"/>
      <c r="G98" s="1"/>
      <c r="H98" s="1"/>
      <c r="I98" s="1"/>
      <c r="J98" s="1"/>
      <c r="K98" s="1"/>
      <c r="L98" s="1"/>
      <c r="M98" s="158"/>
      <c r="N98" s="158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customFormat="false" ht="15" hidden="false" customHeight="false" outlineLevel="0" collapsed="false">
      <c r="F99" s="1"/>
      <c r="G99" s="1"/>
      <c r="H99" s="1"/>
      <c r="I99" s="1"/>
      <c r="J99" s="1"/>
      <c r="K99" s="1"/>
      <c r="L99" s="1"/>
      <c r="M99" s="158"/>
      <c r="N99" s="158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02"/>
      <c r="AZ99" s="102"/>
    </row>
    <row r="100" customFormat="false" ht="15" hidden="false" customHeight="false" outlineLevel="0" collapsed="false">
      <c r="F100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1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36" activeCellId="0" sqref="B36"/>
    </sheetView>
  </sheetViews>
  <sheetFormatPr defaultColWidth="9.14453125" defaultRowHeight="15" zeroHeight="false" outlineLevelRow="0" outlineLevelCol="0"/>
  <cols>
    <col collapsed="false" customWidth="true" hidden="false" outlineLevel="0" max="36" min="1" style="160" width="20.72"/>
    <col collapsed="false" customWidth="false" hidden="false" outlineLevel="0" max="16384" min="37" style="160" width="9.14"/>
  </cols>
  <sheetData>
    <row r="1" customFormat="false" ht="15" hidden="false" customHeight="false" outlineLevel="0" collapsed="false">
      <c r="A1" s="161" t="s">
        <v>191</v>
      </c>
      <c r="B1" s="161" t="s">
        <v>192</v>
      </c>
      <c r="C1" s="161" t="s">
        <v>193</v>
      </c>
      <c r="D1" s="161" t="s">
        <v>194</v>
      </c>
      <c r="E1" s="161" t="s">
        <v>195</v>
      </c>
      <c r="F1" s="161" t="s">
        <v>196</v>
      </c>
      <c r="G1" s="161" t="s">
        <v>197</v>
      </c>
      <c r="H1" s="161" t="s">
        <v>198</v>
      </c>
      <c r="I1" s="161" t="s">
        <v>199</v>
      </c>
      <c r="J1" s="161" t="s">
        <v>200</v>
      </c>
      <c r="K1" s="161" t="s">
        <v>201</v>
      </c>
      <c r="L1" s="161" t="s">
        <v>202</v>
      </c>
      <c r="M1" s="161" t="s">
        <v>203</v>
      </c>
      <c r="N1" s="161" t="s">
        <v>204</v>
      </c>
      <c r="O1" s="161" t="s">
        <v>205</v>
      </c>
      <c r="P1" s="161" t="s">
        <v>206</v>
      </c>
      <c r="Q1" s="161" t="s">
        <v>207</v>
      </c>
      <c r="R1" s="161" t="s">
        <v>208</v>
      </c>
      <c r="S1" s="161" t="s">
        <v>209</v>
      </c>
      <c r="T1" s="161" t="s">
        <v>210</v>
      </c>
      <c r="U1" s="161" t="s">
        <v>211</v>
      </c>
      <c r="V1" s="161" t="s">
        <v>212</v>
      </c>
      <c r="W1" s="161" t="s">
        <v>213</v>
      </c>
      <c r="X1" s="161" t="s">
        <v>214</v>
      </c>
      <c r="Y1" s="161" t="s">
        <v>215</v>
      </c>
      <c r="Z1" s="161" t="s">
        <v>216</v>
      </c>
      <c r="AA1" s="161" t="s">
        <v>217</v>
      </c>
      <c r="AB1" s="161" t="s">
        <v>218</v>
      </c>
      <c r="AC1" s="161" t="s">
        <v>219</v>
      </c>
      <c r="AD1" s="161" t="s">
        <v>220</v>
      </c>
      <c r="AE1" s="161" t="s">
        <v>221</v>
      </c>
      <c r="AF1" s="161" t="s">
        <v>222</v>
      </c>
      <c r="AG1" s="161" t="s">
        <v>223</v>
      </c>
      <c r="AH1" s="161" t="s">
        <v>224</v>
      </c>
      <c r="AI1" s="161" t="s">
        <v>225</v>
      </c>
      <c r="AJ1" s="161" t="s">
        <v>226</v>
      </c>
    </row>
    <row r="2" customFormat="false" ht="15" hidden="false" customHeight="false" outlineLevel="0" collapsed="false">
      <c r="A2" s="161" t="str">
        <f aca="false">Service1!C6</f>
        <v>Омск</v>
      </c>
      <c r="B2" s="161" t="str">
        <f aca="false">Service2!H9</f>
        <v>+16°</v>
      </c>
      <c r="C2" s="161" t="str">
        <f aca="false">Service2!Q9</f>
        <v>+1°</v>
      </c>
      <c r="D2" s="161" t="str">
        <f aca="false">Service2!Z9</f>
        <v>+16°</v>
      </c>
      <c r="E2" s="161" t="str">
        <f aca="false">Service2!AI9</f>
        <v>+1°</v>
      </c>
      <c r="F2" s="162" t="str">
        <f aca="false">Service2!AQ9</f>
        <v>800, 0, 800, 0</v>
      </c>
      <c r="G2" s="163" t="str">
        <f aca="false">Service2!O9</f>
        <v>iconClouds.mov</v>
      </c>
      <c r="H2" s="163" t="str">
        <f aca="false">Service2!X9</f>
        <v>iconCloudMoon.mov</v>
      </c>
      <c r="I2" s="163" t="str">
        <f aca="false">Service2!AG9</f>
        <v>iconSun.mov</v>
      </c>
      <c r="J2" s="163" t="str">
        <f aca="false">Service2!AP9</f>
        <v>iconMoon.mov</v>
      </c>
      <c r="K2" s="161" t="str">
        <f aca="false">Service2!H6</f>
        <v>ветер ЮЗ</v>
      </c>
      <c r="L2" s="161" t="str">
        <f aca="false">Service2!Q6</f>
        <v>ветер Ю</v>
      </c>
      <c r="M2" s="161" t="str">
        <f aca="false">Service2!Z6</f>
        <v>ветер Ю</v>
      </c>
      <c r="N2" s="161" t="str">
        <f aca="false">Service2!AI6</f>
        <v>ветер Ю</v>
      </c>
      <c r="O2" s="161" t="str">
        <f aca="false">Service2!I6</f>
        <v>3 м/с</v>
      </c>
      <c r="P2" s="161" t="str">
        <f aca="false">Service2!R6</f>
        <v>3 м/с</v>
      </c>
      <c r="Q2" s="161" t="str">
        <f aca="false">Service2!AA6</f>
        <v>2 м/с</v>
      </c>
      <c r="R2" s="161" t="str">
        <f aca="false">Service2!AJ6</f>
        <v>2 м/с</v>
      </c>
      <c r="S2" s="161" t="str">
        <f aca="false">Service2!J6</f>
        <v>760 мм</v>
      </c>
      <c r="T2" s="161" t="str">
        <f aca="false">Service2!S6</f>
        <v>758 мм</v>
      </c>
      <c r="U2" s="161" t="str">
        <f aca="false">Service2!AB6</f>
        <v>758 мм</v>
      </c>
      <c r="V2" s="161" t="str">
        <f aca="false">Service2!AK6</f>
        <v>750 мм</v>
      </c>
      <c r="W2" s="161" t="str">
        <f aca="false">Service2!C11</f>
        <v>Прогноз на пятницу</v>
      </c>
      <c r="X2" s="161" t="str">
        <f aca="false">Service2!C12</f>
        <v>Прогноз на субботу</v>
      </c>
      <c r="Y2" s="161" t="str">
        <f aca="false">Service2!C13</f>
        <v>4 октября</v>
      </c>
      <c r="Z2" s="161" t="str">
        <f aca="false">Service2!C14</f>
        <v>5 октября</v>
      </c>
      <c r="AA2" s="161" t="str">
        <f aca="false">Service2!C15</f>
        <v>4 октября. Пятница</v>
      </c>
      <c r="AB2" s="161" t="str">
        <f aca="false">Service2!C16</f>
        <v>5 октября. Суббота</v>
      </c>
      <c r="AC2" s="161" t="str">
        <f aca="false">Service2!C17</f>
        <v>День, 4.10</v>
      </c>
      <c r="AD2" s="161" t="str">
        <f aca="false">Service2!C18</f>
        <v>Ночь, 4.10</v>
      </c>
      <c r="AE2" s="161" t="str">
        <f aca="false">Service2!C19</f>
        <v>День, 5.10</v>
      </c>
      <c r="AF2" s="161" t="str">
        <f aca="false">Service2!C20</f>
        <v>Ночь, 5.10</v>
      </c>
      <c r="AG2" s="161" t="str">
        <f aca="false">Service2!C21</f>
        <v>Прогноз на пятницу и субботу</v>
      </c>
      <c r="AH2" s="161" t="str">
        <f aca="false">Service2!C23</f>
        <v>Погода в Омской области</v>
      </c>
      <c r="AI2" s="161" t="str">
        <f aca="false">Service2!C24</f>
        <v>Погода в Омске</v>
      </c>
      <c r="AJ2" s="161" t="str">
        <f aca="false">Service2!C25</f>
        <v>По информации Омского гидрометцентра</v>
      </c>
    </row>
    <row r="3" customFormat="false" ht="15" hidden="false" customHeight="false" outlineLevel="0" collapsed="false">
      <c r="A3" s="161" t="str">
        <f aca="false">Service1!C9</f>
        <v>Усть-Ишим</v>
      </c>
      <c r="B3" s="161" t="str">
        <f aca="false">Service2!H10</f>
        <v>+14°</v>
      </c>
      <c r="C3" s="161" t="str">
        <f aca="false">Service2!Q10</f>
        <v>+3°</v>
      </c>
      <c r="D3" s="161" t="str">
        <f aca="false">Service2!Z10</f>
        <v>+14°</v>
      </c>
      <c r="E3" s="161" t="str">
        <f aca="false">Service2!AI10</f>
        <v>+3°</v>
      </c>
      <c r="F3" s="162" t="str">
        <f aca="false">Service2!AQ10</f>
        <v>800, 0, 800, 0</v>
      </c>
      <c r="G3" s="163" t="str">
        <f aca="false">Service2!O10</f>
        <v>iconClouds.mov</v>
      </c>
      <c r="H3" s="163" t="str">
        <f aca="false">Service2!X10</f>
        <v>iconClouds.mov</v>
      </c>
      <c r="I3" s="163" t="str">
        <f aca="false">Service2!AG10</f>
        <v>iconCloudSun.mov</v>
      </c>
      <c r="J3" s="163" t="str">
        <f aca="false">Service2!AP10</f>
        <v>iconCloudMoon.mov</v>
      </c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</row>
    <row r="4" customFormat="false" ht="15" hidden="false" customHeight="false" outlineLevel="0" collapsed="false">
      <c r="A4" s="161" t="str">
        <f aca="false">Service1!C10</f>
        <v>Тара</v>
      </c>
      <c r="B4" s="161" t="str">
        <f aca="false">Service2!H11</f>
        <v>+15°</v>
      </c>
      <c r="C4" s="161" t="str">
        <f aca="false">Service2!Q11</f>
        <v>+3°</v>
      </c>
      <c r="D4" s="161" t="str">
        <f aca="false">Service2!Z11</f>
        <v>+15°</v>
      </c>
      <c r="E4" s="161" t="str">
        <f aca="false">Service2!AI11</f>
        <v>+2°</v>
      </c>
      <c r="F4" s="162" t="str">
        <f aca="false">Service2!AQ11</f>
        <v>800, 62, 800, 0</v>
      </c>
      <c r="G4" s="163" t="str">
        <f aca="false">Service2!O11</f>
        <v>iconClouds.mov</v>
      </c>
      <c r="H4" s="163" t="str">
        <f aca="false">Service2!X11</f>
        <v>iconClouds.mov</v>
      </c>
      <c r="I4" s="163" t="str">
        <f aca="false">Service2!AG11</f>
        <v>iconCloudSun.mov</v>
      </c>
      <c r="J4" s="163" t="str">
        <f aca="false">Service2!AP11</f>
        <v>iconCloudMoon.mov</v>
      </c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</row>
    <row r="5" customFormat="false" ht="15" hidden="false" customHeight="false" outlineLevel="0" collapsed="false">
      <c r="A5" s="161" t="str">
        <f aca="false">Service1!C11</f>
        <v>Тюкалинск</v>
      </c>
      <c r="B5" s="161" t="str">
        <f aca="false">Service2!H12</f>
        <v>+15°</v>
      </c>
      <c r="C5" s="161" t="str">
        <f aca="false">Service2!Q12</f>
        <v>+2°</v>
      </c>
      <c r="D5" s="161" t="str">
        <f aca="false">Service2!Z12</f>
        <v>+16°</v>
      </c>
      <c r="E5" s="161" t="str">
        <f aca="false">Service2!AI12</f>
        <v>+2°</v>
      </c>
      <c r="F5" s="162" t="str">
        <f aca="false">Service2!AQ12</f>
        <v>743, 0, 800, 0</v>
      </c>
      <c r="G5" s="163" t="str">
        <f aca="false">Service2!O12</f>
        <v>iconClouds.mov</v>
      </c>
      <c r="H5" s="163" t="str">
        <f aca="false">Service2!X12</f>
        <v>iconCloudMoon.mov</v>
      </c>
      <c r="I5" s="163" t="str">
        <f aca="false">Service2!AG12</f>
        <v>iconSun.mov</v>
      </c>
      <c r="J5" s="163" t="str">
        <f aca="false">Service2!AP12</f>
        <v>iconMoon.mov</v>
      </c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</row>
    <row r="6" customFormat="false" ht="15" hidden="false" customHeight="false" outlineLevel="0" collapsed="false">
      <c r="A6" s="161" t="str">
        <f aca="false">Service1!C12</f>
        <v>Большеречье</v>
      </c>
      <c r="B6" s="161" t="str">
        <f aca="false">Service2!H13</f>
        <v>+16°</v>
      </c>
      <c r="C6" s="161" t="str">
        <f aca="false">Service2!Q13</f>
        <v>+3°</v>
      </c>
      <c r="D6" s="161" t="str">
        <f aca="false">Service2!Z13</f>
        <v>+16°</v>
      </c>
      <c r="E6" s="161" t="str">
        <f aca="false">Service2!AI13</f>
        <v>+2°</v>
      </c>
      <c r="F6" s="162" t="str">
        <f aca="false">Service2!AQ13</f>
        <v>800, 57, 800, 0</v>
      </c>
      <c r="G6" s="163" t="str">
        <f aca="false">Service2!O13</f>
        <v>iconClouds.mov</v>
      </c>
      <c r="H6" s="163" t="str">
        <f aca="false">Service2!X13</f>
        <v>iconClouds.mov</v>
      </c>
      <c r="I6" s="163" t="str">
        <f aca="false">Service2!AG13</f>
        <v>iconCloudSun.mov</v>
      </c>
      <c r="J6" s="163" t="str">
        <f aca="false">Service2!AP13</f>
        <v>iconCloudMoon.mov</v>
      </c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</row>
    <row r="7" customFormat="false" ht="15" hidden="false" customHeight="false" outlineLevel="0" collapsed="false">
      <c r="A7" s="161" t="str">
        <f aca="false">Service1!C13</f>
        <v>Называевск</v>
      </c>
      <c r="B7" s="161" t="str">
        <f aca="false">Service2!H14</f>
        <v>+16°</v>
      </c>
      <c r="C7" s="161" t="str">
        <f aca="false">Service2!Q14</f>
        <v>+1°</v>
      </c>
      <c r="D7" s="161" t="str">
        <f aca="false">Service2!Z14</f>
        <v>+16°</v>
      </c>
      <c r="E7" s="161" t="str">
        <f aca="false">Service2!AI14</f>
        <v>+1°</v>
      </c>
      <c r="F7" s="162" t="str">
        <f aca="false">Service2!AQ14</f>
        <v>800, 0, 800, 0</v>
      </c>
      <c r="G7" s="163" t="str">
        <f aca="false">Service2!O14</f>
        <v>iconClouds.mov</v>
      </c>
      <c r="H7" s="163" t="str">
        <f aca="false">Service2!X14</f>
        <v>iconCloudMoon.mov</v>
      </c>
      <c r="I7" s="163" t="str">
        <f aca="false">Service2!AG14</f>
        <v>iconSun.mov</v>
      </c>
      <c r="J7" s="163" t="str">
        <f aca="false">Service2!AP14</f>
        <v>iconMoon.mov</v>
      </c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</row>
    <row r="8" customFormat="false" ht="15" hidden="false" customHeight="false" outlineLevel="0" collapsed="false">
      <c r="A8" s="161" t="str">
        <f aca="false">Service1!C14</f>
        <v>Тевриз</v>
      </c>
      <c r="B8" s="161" t="str">
        <f aca="false">Service2!H15</f>
        <v>+14°</v>
      </c>
      <c r="C8" s="161" t="str">
        <f aca="false">Service2!Q15</f>
        <v>+4°</v>
      </c>
      <c r="D8" s="161" t="str">
        <f aca="false">Service2!Z15</f>
        <v>+14°</v>
      </c>
      <c r="E8" s="161" t="str">
        <f aca="false">Service2!AI15</f>
        <v>+2°</v>
      </c>
      <c r="F8" s="162" t="str">
        <f aca="false">Service2!AQ15</f>
        <v>800, 133, 800, 0</v>
      </c>
      <c r="G8" s="163" t="str">
        <f aca="false">Service2!O15</f>
        <v>iconClouds.mov</v>
      </c>
      <c r="H8" s="163" t="str">
        <f aca="false">Service2!X15</f>
        <v>iconClouds.mov</v>
      </c>
      <c r="I8" s="163" t="str">
        <f aca="false">Service2!AG15</f>
        <v>iconCloudSun.mov</v>
      </c>
      <c r="J8" s="163" t="str">
        <f aca="false">Service2!AP15</f>
        <v>iconCloudMoon.mov</v>
      </c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</row>
    <row r="9" customFormat="false" ht="15" hidden="false" customHeight="false" outlineLevel="0" collapsed="false">
      <c r="A9" s="161" t="str">
        <f aca="false">Service1!C15</f>
        <v>Саргатское</v>
      </c>
      <c r="B9" s="161" t="str">
        <f aca="false">Service2!H16</f>
        <v>+16°</v>
      </c>
      <c r="C9" s="161" t="str">
        <f aca="false">Service2!Q16</f>
        <v>+1°</v>
      </c>
      <c r="D9" s="161" t="str">
        <f aca="false">Service2!Z16</f>
        <v>+16°</v>
      </c>
      <c r="E9" s="161" t="str">
        <f aca="false">Service2!AI16</f>
        <v>+1°</v>
      </c>
      <c r="F9" s="162" t="str">
        <f aca="false">Service2!AQ16</f>
        <v>800, 0, 800, 0</v>
      </c>
      <c r="G9" s="163" t="str">
        <f aca="false">Service2!O16</f>
        <v>iconClouds.mov</v>
      </c>
      <c r="H9" s="163" t="str">
        <f aca="false">Service2!X16</f>
        <v>iconCloudMoon.mov</v>
      </c>
      <c r="I9" s="163" t="str">
        <f aca="false">Service2!AG16</f>
        <v>iconCloudSun.mov</v>
      </c>
      <c r="J9" s="163" t="str">
        <f aca="false">Service2!AP16</f>
        <v>iconCloudMoon.mov</v>
      </c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</row>
    <row r="10" customFormat="false" ht="15" hidden="false" customHeight="false" outlineLevel="0" collapsed="false">
      <c r="A10" s="161" t="str">
        <f aca="false">Service1!D9</f>
        <v>Исилькуль</v>
      </c>
      <c r="B10" s="161" t="str">
        <f aca="false">Service2!H17</f>
        <v>+16°</v>
      </c>
      <c r="C10" s="161" t="str">
        <f aca="false">Service2!Q17</f>
        <v>-1°</v>
      </c>
      <c r="D10" s="161" t="str">
        <f aca="false">Service2!Z17</f>
        <v>+17°</v>
      </c>
      <c r="E10" s="161" t="str">
        <f aca="false">Service2!AI17</f>
        <v>0°</v>
      </c>
      <c r="F10" s="162" t="str">
        <f aca="false">Service2!AQ17</f>
        <v>756, 0, 800, 44</v>
      </c>
      <c r="G10" s="163" t="str">
        <f aca="false">Service2!O17</f>
        <v>iconClouds.mov</v>
      </c>
      <c r="H10" s="163" t="str">
        <f aca="false">Service2!X17</f>
        <v>iconCloudMoon.mov</v>
      </c>
      <c r="I10" s="163" t="str">
        <f aca="false">Service2!AG17</f>
        <v>iconSun.mov</v>
      </c>
      <c r="J10" s="163" t="str">
        <f aca="false">Service2!AP17</f>
        <v>iconMoon.mov</v>
      </c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</row>
    <row r="11" customFormat="false" ht="15" hidden="false" customHeight="false" outlineLevel="0" collapsed="false">
      <c r="A11" s="161" t="str">
        <f aca="false">Service1!D10</f>
        <v>Калачинск</v>
      </c>
      <c r="B11" s="161" t="str">
        <f aca="false">Service2!H18</f>
        <v>+16°</v>
      </c>
      <c r="C11" s="161" t="str">
        <f aca="false">Service2!Q18</f>
        <v>+2°</v>
      </c>
      <c r="D11" s="161" t="str">
        <f aca="false">Service2!Z18</f>
        <v>+16°</v>
      </c>
      <c r="E11" s="161" t="str">
        <f aca="false">Service2!AI18</f>
        <v>+1°</v>
      </c>
      <c r="F11" s="162" t="str">
        <f aca="false">Service2!AQ18</f>
        <v>800, 53, 800, 0</v>
      </c>
      <c r="G11" s="163" t="str">
        <f aca="false">Service2!O18</f>
        <v>iconClouds.mov</v>
      </c>
      <c r="H11" s="163" t="str">
        <f aca="false">Service2!X18</f>
        <v>iconCloudMoon.mov</v>
      </c>
      <c r="I11" s="163" t="str">
        <f aca="false">Service2!AG18</f>
        <v>iconSun.mov</v>
      </c>
      <c r="J11" s="163" t="str">
        <f aca="false">Service2!AP18</f>
        <v>iconMoon.mov</v>
      </c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</row>
    <row r="12" customFormat="false" ht="15" hidden="false" customHeight="false" outlineLevel="0" collapsed="false">
      <c r="A12" s="161" t="str">
        <f aca="false">Service1!D11</f>
        <v>Полтавка</v>
      </c>
      <c r="B12" s="161" t="str">
        <f aca="false">Service2!H19</f>
        <v>+16°</v>
      </c>
      <c r="C12" s="161" t="str">
        <f aca="false">Service2!Q19</f>
        <v>0°</v>
      </c>
      <c r="D12" s="161" t="str">
        <f aca="false">Service2!Z19</f>
        <v>+18°</v>
      </c>
      <c r="E12" s="161" t="str">
        <f aca="false">Service2!AI19</f>
        <v>0°</v>
      </c>
      <c r="F12" s="162" t="str">
        <f aca="false">Service2!AQ19</f>
        <v>711, 0, 800, 0</v>
      </c>
      <c r="G12" s="163" t="str">
        <f aca="false">Service2!O19</f>
        <v>iconClouds.mov</v>
      </c>
      <c r="H12" s="163" t="str">
        <f aca="false">Service2!X19</f>
        <v>iconCloudMoon.mov</v>
      </c>
      <c r="I12" s="163" t="str">
        <f aca="false">Service2!AG19</f>
        <v>iconSun.mov</v>
      </c>
      <c r="J12" s="163" t="str">
        <f aca="false">Service2!AP19</f>
        <v>iconMoon.mov</v>
      </c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</row>
    <row r="13" customFormat="false" ht="15" hidden="false" customHeight="false" outlineLevel="0" collapsed="false">
      <c r="A13" s="161" t="str">
        <f aca="false">Service1!D12</f>
        <v>Русская Поляна</v>
      </c>
      <c r="B13" s="161" t="str">
        <f aca="false">Service2!H20</f>
        <v>+15°</v>
      </c>
      <c r="C13" s="161" t="str">
        <f aca="false">Service2!Q20</f>
        <v>+1°</v>
      </c>
      <c r="D13" s="161" t="str">
        <f aca="false">Service2!Z20</f>
        <v>+17°</v>
      </c>
      <c r="E13" s="161" t="str">
        <f aca="false">Service2!AI20</f>
        <v>+2°</v>
      </c>
      <c r="F13" s="162" t="str">
        <f aca="false">Service2!AQ20</f>
        <v>700, 0, 800, 50</v>
      </c>
      <c r="G13" s="163" t="str">
        <f aca="false">Service2!O20</f>
        <v>iconCloudSun.mov</v>
      </c>
      <c r="H13" s="163" t="str">
        <f aca="false">Service2!X20</f>
        <v>iconCloudMoon.mov</v>
      </c>
      <c r="I13" s="163" t="str">
        <f aca="false">Service2!AG20</f>
        <v>iconSun.mov</v>
      </c>
      <c r="J13" s="163" t="str">
        <f aca="false">Service2!AP20</f>
        <v>iconMoon.mov</v>
      </c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</row>
    <row r="14" customFormat="false" ht="15" hidden="false" customHeight="false" outlineLevel="0" collapsed="false">
      <c r="A14" s="161" t="str">
        <f aca="false">Service1!D13</f>
        <v>Черлак</v>
      </c>
      <c r="B14" s="161" t="str">
        <f aca="false">Service2!H21</f>
        <v>+16°</v>
      </c>
      <c r="C14" s="161" t="str">
        <f aca="false">Service2!Q21</f>
        <v>+1°</v>
      </c>
      <c r="D14" s="161" t="str">
        <f aca="false">Service2!Z21</f>
        <v>+17°</v>
      </c>
      <c r="E14" s="161" t="str">
        <f aca="false">Service2!AI21</f>
        <v>+2°</v>
      </c>
      <c r="F14" s="162" t="str">
        <f aca="false">Service2!AQ21</f>
        <v>750, 0, 800, 50</v>
      </c>
      <c r="G14" s="163" t="str">
        <f aca="false">Service2!O21</f>
        <v>iconClouds.mov</v>
      </c>
      <c r="H14" s="163" t="str">
        <f aca="false">Service2!X21</f>
        <v>iconCloudMoon.mov</v>
      </c>
      <c r="I14" s="163" t="str">
        <f aca="false">Service2!AG21</f>
        <v>iconSun.mov</v>
      </c>
      <c r="J14" s="163" t="str">
        <f aca="false">Service2!AP21</f>
        <v>iconMoon.mov</v>
      </c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</row>
    <row r="15" customFormat="false" ht="15" hidden="false" customHeight="false" outlineLevel="0" collapsed="false">
      <c r="A15" s="161" t="str">
        <f aca="false">Service1!D14</f>
        <v>Одесское</v>
      </c>
      <c r="B15" s="161" t="str">
        <f aca="false">Service2!H22</f>
        <v>+16°</v>
      </c>
      <c r="C15" s="161" t="str">
        <f aca="false">Service2!Q22</f>
        <v>+1°</v>
      </c>
      <c r="D15" s="161" t="str">
        <f aca="false">Service2!Z22</f>
        <v>+17°</v>
      </c>
      <c r="E15" s="161" t="str">
        <f aca="false">Service2!AI22</f>
        <v>+1°</v>
      </c>
      <c r="F15" s="162" t="str">
        <f aca="false">Service2!AQ22</f>
        <v>750, 0, 800, 0</v>
      </c>
      <c r="G15" s="163" t="str">
        <f aca="false">Service2!O22</f>
        <v>iconClouds.mov</v>
      </c>
      <c r="H15" s="163" t="str">
        <f aca="false">Service2!X22</f>
        <v>iconCloudMoon.mov</v>
      </c>
      <c r="I15" s="163" t="str">
        <f aca="false">Service2!AG22</f>
        <v>iconSun.mov</v>
      </c>
      <c r="J15" s="163" t="str">
        <f aca="false">Service2!AP22</f>
        <v>iconMoon.mov</v>
      </c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</row>
    <row r="16" customFormat="false" ht="15" hidden="false" customHeight="false" outlineLevel="0" collapsed="false">
      <c r="A16" s="161" t="str">
        <f aca="false">Service1!D15</f>
        <v>Павлоградка</v>
      </c>
      <c r="B16" s="161" t="str">
        <f aca="false">Service2!H23</f>
        <v>+16°</v>
      </c>
      <c r="C16" s="161" t="str">
        <f aca="false">Service2!Q23</f>
        <v>+1°</v>
      </c>
      <c r="D16" s="161" t="str">
        <f aca="false">Service2!Z23</f>
        <v>+17°</v>
      </c>
      <c r="E16" s="161" t="str">
        <f aca="false">Service2!AI23</f>
        <v>+1°</v>
      </c>
      <c r="F16" s="162" t="str">
        <f aca="false">Service2!AQ23</f>
        <v>750, 0, 800, 0</v>
      </c>
      <c r="G16" s="163" t="str">
        <f aca="false">Service2!O23</f>
        <v>iconClouds.mov</v>
      </c>
      <c r="H16" s="163" t="str">
        <f aca="false">Service2!X23</f>
        <v>iconCloudMoon.mov</v>
      </c>
      <c r="I16" s="163" t="str">
        <f aca="false">Service2!AG23</f>
        <v>iconSun.mov</v>
      </c>
      <c r="J16" s="163" t="str">
        <f aca="false">Service2!AP23</f>
        <v>iconMoon.mov</v>
      </c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</row>
    <row r="17" customFormat="false" ht="15" hidden="false" customHeight="false" outlineLevel="0" collapsed="false">
      <c r="C17" s="16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F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C41" activeCellId="0" sqref="AC41"/>
    </sheetView>
  </sheetViews>
  <sheetFormatPr defaultColWidth="1.70703125" defaultRowHeight="15" zeroHeight="false" outlineLevelRow="0" outlineLevelCol="0"/>
  <cols>
    <col collapsed="false" customWidth="false" hidden="false" outlineLevel="0" max="16384" min="1" style="165" width="1.71"/>
  </cols>
  <sheetData>
    <row r="1" customFormat="false" ht="15" hidden="false" customHeight="false" outlineLevel="0" collapsed="false">
      <c r="A1" s="166" t="s">
        <v>227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7"/>
      <c r="AZ1" s="167"/>
      <c r="BA1" s="167"/>
      <c r="BB1" s="167"/>
      <c r="BC1" s="167"/>
    </row>
    <row r="2" customFormat="false" ht="5.25" hidden="false" customHeight="true" outlineLevel="0" collapsed="false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</row>
    <row r="3" customFormat="false" ht="15" hidden="false" customHeight="false" outlineLevel="0" collapsed="false">
      <c r="A3" s="169" t="str">
        <f aca="false">Service2!C13</f>
        <v>4 октября</v>
      </c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70" t="str">
        <f aca="false">Service2!C9</f>
        <v>Пятница</v>
      </c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170"/>
      <c r="AH3" s="170"/>
      <c r="AI3" s="171" t="s">
        <v>228</v>
      </c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2"/>
      <c r="AZ3" s="172"/>
      <c r="BA3" s="172"/>
      <c r="BB3" s="172"/>
      <c r="BC3" s="172"/>
      <c r="BD3" s="173"/>
      <c r="BE3" s="173"/>
      <c r="BF3" s="173"/>
    </row>
    <row r="4" customFormat="false" ht="15" hidden="false" customHeight="false" outlineLevel="0" collapsed="false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5"/>
      <c r="AZ4" s="175"/>
      <c r="BA4" s="175"/>
      <c r="BB4" s="175"/>
      <c r="BC4" s="175"/>
      <c r="BD4" s="173"/>
      <c r="BE4" s="173"/>
      <c r="BF4" s="173"/>
    </row>
    <row r="5" customFormat="false" ht="15" hidden="false" customHeight="false" outlineLevel="0" collapsed="false">
      <c r="A5" s="176" t="str">
        <f aca="false">Service1!C9</f>
        <v>Усть-Ишим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7" t="str">
        <f aca="false">Service2!M10</f>
        <v> Облачно</v>
      </c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8" t="str">
        <f aca="false">Service2!N10</f>
        <v>Без осадков</v>
      </c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178"/>
      <c r="AQ5" s="178"/>
      <c r="AR5" s="176" t="str">
        <f aca="false">Service2!H10</f>
        <v>+14°</v>
      </c>
      <c r="AS5" s="176"/>
      <c r="AT5" s="176"/>
      <c r="AU5" s="176"/>
      <c r="AV5" s="176"/>
      <c r="AW5" s="176"/>
      <c r="AX5" s="176"/>
      <c r="AY5" s="179"/>
      <c r="AZ5" s="179"/>
      <c r="BA5" s="179"/>
      <c r="BB5" s="179"/>
      <c r="BC5" s="179"/>
      <c r="BD5" s="173"/>
      <c r="BE5" s="173"/>
      <c r="BF5" s="173"/>
    </row>
    <row r="6" customFormat="false" ht="15" hidden="false" customHeight="false" outlineLevel="0" collapsed="false">
      <c r="A6" s="176" t="str">
        <f aca="false">Service1!C10</f>
        <v>Тара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7" t="str">
        <f aca="false">Service2!M11</f>
        <v> Облачно</v>
      </c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8" t="str">
        <f aca="false">Service2!N11</f>
        <v>Без осадков</v>
      </c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6" t="str">
        <f aca="false">Service2!H11</f>
        <v>+15°</v>
      </c>
      <c r="AS6" s="176"/>
      <c r="AT6" s="176"/>
      <c r="AU6" s="176"/>
      <c r="AV6" s="176"/>
      <c r="AW6" s="176"/>
      <c r="AX6" s="176"/>
      <c r="AY6" s="179"/>
      <c r="AZ6" s="179"/>
      <c r="BA6" s="179"/>
      <c r="BB6" s="179"/>
      <c r="BC6" s="179"/>
      <c r="BD6" s="173"/>
      <c r="BE6" s="173"/>
      <c r="BF6" s="173"/>
    </row>
    <row r="7" customFormat="false" ht="15" hidden="false" customHeight="false" outlineLevel="0" collapsed="false">
      <c r="A7" s="176" t="str">
        <f aca="false">Service1!C11</f>
        <v>Тюкалинск</v>
      </c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7" t="str">
        <f aca="false">Service2!M12</f>
        <v> Облачно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8" t="str">
        <f aca="false">Service2!N12</f>
        <v>Без осадков</v>
      </c>
      <c r="AD7" s="178"/>
      <c r="AE7" s="178"/>
      <c r="AF7" s="178"/>
      <c r="AG7" s="178"/>
      <c r="AH7" s="178"/>
      <c r="AI7" s="178"/>
      <c r="AJ7" s="178"/>
      <c r="AK7" s="178"/>
      <c r="AL7" s="178"/>
      <c r="AM7" s="178"/>
      <c r="AN7" s="178"/>
      <c r="AO7" s="178"/>
      <c r="AP7" s="178"/>
      <c r="AQ7" s="178"/>
      <c r="AR7" s="176" t="str">
        <f aca="false">Service2!H12</f>
        <v>+15°</v>
      </c>
      <c r="AS7" s="176"/>
      <c r="AT7" s="176"/>
      <c r="AU7" s="176"/>
      <c r="AV7" s="176"/>
      <c r="AW7" s="176"/>
      <c r="AX7" s="176"/>
      <c r="AY7" s="179"/>
      <c r="AZ7" s="179"/>
      <c r="BA7" s="179"/>
      <c r="BB7" s="179"/>
      <c r="BC7" s="179"/>
      <c r="BD7" s="173"/>
      <c r="BE7" s="173"/>
      <c r="BF7" s="173"/>
    </row>
    <row r="8" customFormat="false" ht="15" hidden="false" customHeight="false" outlineLevel="0" collapsed="false">
      <c r="A8" s="176" t="str">
        <f aca="false">Service1!C12</f>
        <v>Большеречье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7" t="str">
        <f aca="false">Service2!M13</f>
        <v> Облачно</v>
      </c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8" t="str">
        <f aca="false">Service2!N13</f>
        <v>Без осадков</v>
      </c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6" t="str">
        <f aca="false">Service2!H13</f>
        <v>+16°</v>
      </c>
      <c r="AS8" s="176"/>
      <c r="AT8" s="176"/>
      <c r="AU8" s="176"/>
      <c r="AV8" s="176"/>
      <c r="AW8" s="176"/>
      <c r="AX8" s="176"/>
      <c r="AY8" s="179"/>
      <c r="AZ8" s="179"/>
      <c r="BA8" s="179"/>
      <c r="BB8" s="179"/>
      <c r="BC8" s="179"/>
      <c r="BD8" s="173"/>
      <c r="BE8" s="173"/>
      <c r="BF8" s="173"/>
    </row>
    <row r="9" customFormat="false" ht="15" hidden="false" customHeight="false" outlineLevel="0" collapsed="false">
      <c r="A9" s="176" t="str">
        <f aca="false">Service1!C13</f>
        <v>Называевск</v>
      </c>
      <c r="B9" s="176"/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7" t="str">
        <f aca="false">Service2!M14</f>
        <v> Облачно</v>
      </c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8" t="str">
        <f aca="false">Service2!N14</f>
        <v>Без осадков</v>
      </c>
      <c r="AD9" s="178"/>
      <c r="AE9" s="178"/>
      <c r="AF9" s="178"/>
      <c r="AG9" s="178"/>
      <c r="AH9" s="178"/>
      <c r="AI9" s="178"/>
      <c r="AJ9" s="178"/>
      <c r="AK9" s="178"/>
      <c r="AL9" s="178"/>
      <c r="AM9" s="178"/>
      <c r="AN9" s="178"/>
      <c r="AO9" s="178"/>
      <c r="AP9" s="178"/>
      <c r="AQ9" s="178"/>
      <c r="AR9" s="176" t="str">
        <f aca="false">Service2!H14</f>
        <v>+16°</v>
      </c>
      <c r="AS9" s="176"/>
      <c r="AT9" s="176"/>
      <c r="AU9" s="176"/>
      <c r="AV9" s="176"/>
      <c r="AW9" s="176"/>
      <c r="AX9" s="176"/>
      <c r="AY9" s="179"/>
      <c r="AZ9" s="179"/>
      <c r="BA9" s="179"/>
      <c r="BB9" s="179"/>
      <c r="BC9" s="179"/>
      <c r="BD9" s="173"/>
      <c r="BE9" s="173"/>
      <c r="BF9" s="173"/>
    </row>
    <row r="10" customFormat="false" ht="15" hidden="false" customHeight="false" outlineLevel="0" collapsed="false">
      <c r="A10" s="176" t="str">
        <f aca="false">Service1!C14</f>
        <v>Тевриз</v>
      </c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7" t="str">
        <f aca="false">Service2!M15</f>
        <v> Облачно</v>
      </c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8" t="str">
        <f aca="false">Service2!N15</f>
        <v>Без осадков</v>
      </c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6" t="str">
        <f aca="false">Service2!H15</f>
        <v>+14°</v>
      </c>
      <c r="AS10" s="176"/>
      <c r="AT10" s="176"/>
      <c r="AU10" s="176"/>
      <c r="AV10" s="176"/>
      <c r="AW10" s="176"/>
      <c r="AX10" s="176"/>
      <c r="AY10" s="179"/>
      <c r="AZ10" s="179"/>
      <c r="BA10" s="179"/>
      <c r="BB10" s="179"/>
      <c r="BC10" s="179"/>
      <c r="BD10" s="173"/>
      <c r="BE10" s="173"/>
      <c r="BF10" s="173"/>
    </row>
    <row r="11" customFormat="false" ht="15" hidden="false" customHeight="false" outlineLevel="0" collapsed="false">
      <c r="A11" s="176" t="str">
        <f aca="false">Service1!C15</f>
        <v>Саргатское</v>
      </c>
      <c r="B11" s="176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7" t="str">
        <f aca="false">Service2!M16</f>
        <v> Облачно</v>
      </c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8" t="str">
        <f aca="false">Service2!N16</f>
        <v>Без осадков</v>
      </c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6" t="str">
        <f aca="false">Service2!H16</f>
        <v>+16°</v>
      </c>
      <c r="AS11" s="176"/>
      <c r="AT11" s="176"/>
      <c r="AU11" s="176"/>
      <c r="AV11" s="176"/>
      <c r="AW11" s="176"/>
      <c r="AX11" s="176"/>
      <c r="AY11" s="179"/>
      <c r="AZ11" s="179"/>
      <c r="BA11" s="179"/>
      <c r="BB11" s="179"/>
      <c r="BC11" s="179"/>
      <c r="BD11" s="173"/>
      <c r="BE11" s="173"/>
      <c r="BF11" s="173"/>
    </row>
    <row r="12" customFormat="false" ht="15" hidden="false" customHeight="false" outlineLevel="0" collapsed="false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2"/>
      <c r="AD12" s="182"/>
      <c r="AE12" s="182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5"/>
      <c r="AZ12" s="175"/>
      <c r="BA12" s="175"/>
      <c r="BB12" s="175"/>
      <c r="BC12" s="175"/>
      <c r="BD12" s="173"/>
      <c r="BE12" s="173"/>
      <c r="BF12" s="173"/>
    </row>
    <row r="13" customFormat="false" ht="15" hidden="false" customHeight="false" outlineLevel="0" collapsed="false">
      <c r="A13" s="176" t="str">
        <f aca="false">Service1!D9</f>
        <v>Исилькуль</v>
      </c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8" t="str">
        <f aca="false">Service2!M17</f>
        <v> Облачно</v>
      </c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 t="str">
        <f aca="false">Service2!N17</f>
        <v>Без осадков</v>
      </c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6" t="str">
        <f aca="false">Service2!H17</f>
        <v>+16°</v>
      </c>
      <c r="AS13" s="176"/>
      <c r="AT13" s="176"/>
      <c r="AU13" s="176"/>
      <c r="AV13" s="176"/>
      <c r="AW13" s="176"/>
      <c r="AX13" s="176"/>
      <c r="AY13" s="179"/>
      <c r="AZ13" s="179"/>
      <c r="BA13" s="179"/>
      <c r="BB13" s="179"/>
      <c r="BC13" s="179"/>
      <c r="BD13" s="173"/>
      <c r="BE13" s="173"/>
      <c r="BF13" s="173"/>
    </row>
    <row r="14" customFormat="false" ht="15" hidden="false" customHeight="false" outlineLevel="0" collapsed="false">
      <c r="A14" s="176" t="str">
        <f aca="false">Service1!D10</f>
        <v>Калачинск</v>
      </c>
      <c r="B14" s="176"/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8" t="str">
        <f aca="false">Service2!M18</f>
        <v> Облачно</v>
      </c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 t="str">
        <f aca="false">Service2!N18</f>
        <v>Без осадков</v>
      </c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6" t="str">
        <f aca="false">Service2!H18</f>
        <v>+16°</v>
      </c>
      <c r="AS14" s="176"/>
      <c r="AT14" s="176"/>
      <c r="AU14" s="176"/>
      <c r="AV14" s="176"/>
      <c r="AW14" s="176"/>
      <c r="AX14" s="176"/>
      <c r="AY14" s="179"/>
      <c r="AZ14" s="179"/>
      <c r="BA14" s="179"/>
      <c r="BB14" s="179"/>
      <c r="BC14" s="179"/>
      <c r="BD14" s="173"/>
      <c r="BE14" s="173"/>
      <c r="BF14" s="173"/>
    </row>
    <row r="15" customFormat="false" ht="15" hidden="false" customHeight="false" outlineLevel="0" collapsed="false">
      <c r="A15" s="176" t="str">
        <f aca="false">Service1!D11</f>
        <v>Полтавка</v>
      </c>
      <c r="B15" s="176"/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8" t="str">
        <f aca="false">Service2!M19</f>
        <v> Облачно</v>
      </c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 t="str">
        <f aca="false">Service2!N19</f>
        <v>Без осадков</v>
      </c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176" t="str">
        <f aca="false">Service2!H19</f>
        <v>+16°</v>
      </c>
      <c r="AS15" s="176"/>
      <c r="AT15" s="176"/>
      <c r="AU15" s="176"/>
      <c r="AV15" s="176"/>
      <c r="AW15" s="176"/>
      <c r="AX15" s="176"/>
      <c r="AY15" s="179"/>
      <c r="AZ15" s="179"/>
      <c r="BA15" s="179"/>
      <c r="BB15" s="179"/>
      <c r="BC15" s="179"/>
      <c r="BD15" s="173"/>
      <c r="BE15" s="173"/>
      <c r="BF15" s="173"/>
    </row>
    <row r="16" customFormat="false" ht="15" hidden="false" customHeight="false" outlineLevel="0" collapsed="false">
      <c r="A16" s="176" t="str">
        <f aca="false">Service1!D12</f>
        <v>Русская Поляна</v>
      </c>
      <c r="B16" s="176"/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8" t="str">
        <f aca="false">Service2!M20</f>
        <v> Облачно с прояснениями</v>
      </c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 t="str">
        <f aca="false">Service2!N20</f>
        <v>Без осадков</v>
      </c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6" t="str">
        <f aca="false">Service2!H20</f>
        <v>+15°</v>
      </c>
      <c r="AS16" s="176"/>
      <c r="AT16" s="176"/>
      <c r="AU16" s="176"/>
      <c r="AV16" s="176"/>
      <c r="AW16" s="176"/>
      <c r="AX16" s="176"/>
      <c r="AY16" s="179"/>
      <c r="AZ16" s="179"/>
      <c r="BA16" s="179"/>
      <c r="BB16" s="179"/>
      <c r="BC16" s="179"/>
      <c r="BD16" s="173"/>
      <c r="BE16" s="173"/>
      <c r="BF16" s="173"/>
    </row>
    <row r="17" customFormat="false" ht="15" hidden="false" customHeight="false" outlineLevel="0" collapsed="false">
      <c r="A17" s="176" t="str">
        <f aca="false">Service1!D13</f>
        <v>Черлак</v>
      </c>
      <c r="B17" s="176"/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8" t="str">
        <f aca="false">Service2!M21</f>
        <v> Облачно</v>
      </c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 t="str">
        <f aca="false">Service2!N21</f>
        <v>Без осадков</v>
      </c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6" t="str">
        <f aca="false">Service2!H21</f>
        <v>+16°</v>
      </c>
      <c r="AS17" s="176"/>
      <c r="AT17" s="176"/>
      <c r="AU17" s="176"/>
      <c r="AV17" s="176"/>
      <c r="AW17" s="176"/>
      <c r="AX17" s="176"/>
      <c r="AY17" s="179"/>
      <c r="AZ17" s="179"/>
      <c r="BA17" s="179"/>
      <c r="BB17" s="179"/>
      <c r="BC17" s="179"/>
      <c r="BD17" s="173"/>
      <c r="BE17" s="173"/>
      <c r="BF17" s="173"/>
    </row>
    <row r="18" customFormat="false" ht="15" hidden="false" customHeight="false" outlineLevel="0" collapsed="false">
      <c r="A18" s="176" t="str">
        <f aca="false">Service1!D14</f>
        <v>Одесское</v>
      </c>
      <c r="B18" s="176"/>
      <c r="C18" s="176"/>
      <c r="D18" s="176"/>
      <c r="E18" s="176"/>
      <c r="F18" s="176"/>
      <c r="G18" s="176"/>
      <c r="H18" s="176"/>
      <c r="I18" s="176"/>
      <c r="J18" s="176"/>
      <c r="K18" s="176"/>
      <c r="L18" s="176"/>
      <c r="M18" s="178" t="str">
        <f aca="false">Service2!M22</f>
        <v> Облачно</v>
      </c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 t="str">
        <f aca="false">Service2!N22</f>
        <v>Без осадков</v>
      </c>
      <c r="AD18" s="178"/>
      <c r="AE18" s="178"/>
      <c r="AF18" s="178"/>
      <c r="AG18" s="178"/>
      <c r="AH18" s="178"/>
      <c r="AI18" s="178"/>
      <c r="AJ18" s="178"/>
      <c r="AK18" s="178"/>
      <c r="AL18" s="178"/>
      <c r="AM18" s="178"/>
      <c r="AN18" s="178"/>
      <c r="AO18" s="178"/>
      <c r="AP18" s="178"/>
      <c r="AQ18" s="178"/>
      <c r="AR18" s="176" t="str">
        <f aca="false">Service2!H22</f>
        <v>+16°</v>
      </c>
      <c r="AS18" s="176"/>
      <c r="AT18" s="176"/>
      <c r="AU18" s="176"/>
      <c r="AV18" s="176"/>
      <c r="AW18" s="176"/>
      <c r="AX18" s="176"/>
      <c r="AY18" s="179"/>
      <c r="AZ18" s="179"/>
      <c r="BA18" s="179"/>
      <c r="BB18" s="179"/>
      <c r="BC18" s="179"/>
      <c r="BD18" s="173"/>
      <c r="BE18" s="173"/>
      <c r="BF18" s="173"/>
    </row>
    <row r="19" customFormat="false" ht="15" hidden="false" customHeight="false" outlineLevel="0" collapsed="false">
      <c r="A19" s="176" t="str">
        <f aca="false">Service1!D15</f>
        <v>Павлоградка</v>
      </c>
      <c r="B19" s="176"/>
      <c r="C19" s="176"/>
      <c r="D19" s="176"/>
      <c r="E19" s="176"/>
      <c r="F19" s="176"/>
      <c r="G19" s="176"/>
      <c r="H19" s="176"/>
      <c r="I19" s="176"/>
      <c r="J19" s="176"/>
      <c r="K19" s="176"/>
      <c r="L19" s="176"/>
      <c r="M19" s="178" t="str">
        <f aca="false">Service2!M23</f>
        <v> Облачно</v>
      </c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 t="str">
        <f aca="false">Service2!N23</f>
        <v>Без осадков</v>
      </c>
      <c r="AD19" s="178"/>
      <c r="AE19" s="178"/>
      <c r="AF19" s="178"/>
      <c r="AG19" s="178"/>
      <c r="AH19" s="178"/>
      <c r="AI19" s="178"/>
      <c r="AJ19" s="178"/>
      <c r="AK19" s="178"/>
      <c r="AL19" s="178"/>
      <c r="AM19" s="178"/>
      <c r="AN19" s="178"/>
      <c r="AO19" s="178"/>
      <c r="AP19" s="178"/>
      <c r="AQ19" s="178"/>
      <c r="AR19" s="176" t="str">
        <f aca="false">Service2!H23</f>
        <v>+16°</v>
      </c>
      <c r="AS19" s="176"/>
      <c r="AT19" s="176"/>
      <c r="AU19" s="176"/>
      <c r="AV19" s="176"/>
      <c r="AW19" s="176"/>
      <c r="AX19" s="176"/>
      <c r="AY19" s="179"/>
      <c r="AZ19" s="179"/>
      <c r="BA19" s="179"/>
      <c r="BB19" s="179"/>
      <c r="BC19" s="179"/>
      <c r="BD19" s="173"/>
      <c r="BE19" s="173"/>
      <c r="BF19" s="173"/>
    </row>
    <row r="20" customFormat="false" ht="15" hidden="false" customHeight="false" outlineLevel="0" collapsed="false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83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5"/>
      <c r="AZ20" s="175"/>
      <c r="BA20" s="175"/>
      <c r="BB20" s="175"/>
      <c r="BC20" s="175"/>
      <c r="BD20" s="173"/>
      <c r="BE20" s="173"/>
      <c r="BF20" s="173"/>
    </row>
    <row r="21" customFormat="false" ht="15" hidden="false" customHeight="false" outlineLevel="0" collapsed="false">
      <c r="A21" s="176" t="str">
        <f aca="false">Service1!C6</f>
        <v>Омск</v>
      </c>
      <c r="B21" s="176"/>
      <c r="C21" s="176"/>
      <c r="D21" s="176"/>
      <c r="E21" s="176"/>
      <c r="F21" s="176"/>
      <c r="G21" s="176"/>
      <c r="H21" s="176"/>
      <c r="I21" s="176"/>
      <c r="J21" s="176"/>
      <c r="K21" s="176"/>
      <c r="L21" s="176"/>
      <c r="M21" s="178" t="str">
        <f aca="false">Service2!M9</f>
        <v> Облачно</v>
      </c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 t="str">
        <f aca="false">Service2!N9</f>
        <v>Без осадков</v>
      </c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8"/>
      <c r="AP21" s="178"/>
      <c r="AQ21" s="178"/>
      <c r="AR21" s="176" t="str">
        <f aca="false">Service2!H9</f>
        <v>+16°</v>
      </c>
      <c r="AS21" s="176"/>
      <c r="AT21" s="176"/>
      <c r="AU21" s="176"/>
      <c r="AV21" s="176"/>
      <c r="AW21" s="176"/>
      <c r="AX21" s="176"/>
      <c r="AY21" s="179"/>
      <c r="AZ21" s="179"/>
      <c r="BA21" s="179"/>
      <c r="BB21" s="179"/>
      <c r="BC21" s="179"/>
      <c r="BD21" s="173"/>
      <c r="BE21" s="173"/>
      <c r="BF21" s="173"/>
    </row>
    <row r="22" s="186" customFormat="true" ht="17.35" hidden="false" customHeight="false" outlineLevel="0" collapsed="false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84" t="s">
        <v>229</v>
      </c>
      <c r="N22" s="184"/>
      <c r="O22" s="184"/>
      <c r="P22" s="184"/>
      <c r="Q22" s="184"/>
      <c r="R22" s="185" t="str">
        <f aca="false">LOWER(Service2!G6)</f>
        <v>юго-западный</v>
      </c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76" t="str">
        <f aca="false">Service2!I6</f>
        <v>3 м/с</v>
      </c>
      <c r="AF22" s="176"/>
      <c r="AG22" s="176"/>
      <c r="AH22" s="176"/>
      <c r="AI22" s="176"/>
      <c r="AJ22" s="176"/>
      <c r="AK22" s="176"/>
      <c r="AL22" s="176"/>
      <c r="AM22" s="176"/>
      <c r="AP22" s="174"/>
      <c r="AQ22" s="174"/>
      <c r="AR22" s="174"/>
      <c r="AS22" s="174"/>
      <c r="AT22" s="174"/>
      <c r="AU22" s="174"/>
      <c r="AV22" s="174"/>
      <c r="AW22" s="174"/>
      <c r="AX22" s="174"/>
      <c r="AY22" s="175"/>
      <c r="AZ22" s="175"/>
      <c r="BA22" s="175"/>
      <c r="BB22" s="175"/>
      <c r="BC22" s="175"/>
      <c r="BD22" s="187"/>
      <c r="BE22" s="187"/>
      <c r="BF22" s="187"/>
    </row>
    <row r="23" customFormat="false" ht="15" hidden="false" customHeight="false" outlineLevel="0" collapsed="false">
      <c r="A23" s="188"/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188"/>
      <c r="AD23" s="188"/>
      <c r="AE23" s="188"/>
      <c r="AF23" s="188"/>
      <c r="AG23" s="188"/>
      <c r="AH23" s="188"/>
      <c r="AI23" s="188"/>
      <c r="AJ23" s="188"/>
      <c r="AK23" s="188"/>
      <c r="AL23" s="188"/>
      <c r="AM23" s="188"/>
      <c r="AN23" s="188"/>
      <c r="AO23" s="188"/>
      <c r="AP23" s="188"/>
      <c r="AQ23" s="188"/>
      <c r="AR23" s="188"/>
      <c r="AS23" s="188"/>
      <c r="AT23" s="188"/>
      <c r="AU23" s="188"/>
      <c r="AV23" s="188"/>
      <c r="AW23" s="188"/>
      <c r="AX23" s="188"/>
      <c r="AY23" s="189"/>
      <c r="AZ23" s="189"/>
      <c r="BA23" s="189"/>
      <c r="BB23" s="189"/>
      <c r="BC23" s="189"/>
      <c r="BD23" s="173"/>
      <c r="BE23" s="173"/>
      <c r="BF23" s="173"/>
    </row>
    <row r="24" customFormat="false" ht="15" hidden="false" customHeight="false" outlineLevel="0" collapsed="false">
      <c r="A24" s="188"/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D24" s="188"/>
      <c r="AE24" s="188"/>
      <c r="AF24" s="188"/>
      <c r="AG24" s="188"/>
      <c r="AH24" s="188"/>
      <c r="AI24" s="188"/>
      <c r="AJ24" s="188"/>
      <c r="AK24" s="188"/>
      <c r="AL24" s="188"/>
      <c r="AM24" s="188"/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88"/>
      <c r="AZ24" s="188"/>
      <c r="BA24" s="188"/>
      <c r="BB24" s="188"/>
      <c r="BC24" s="188"/>
    </row>
    <row r="25" customFormat="false" ht="15" hidden="false" customHeight="false" outlineLevel="0" collapsed="false">
      <c r="A25" s="188"/>
      <c r="B25" s="188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T25" s="188"/>
      <c r="U25" s="188"/>
      <c r="V25" s="188"/>
      <c r="W25" s="188"/>
      <c r="X25" s="188"/>
      <c r="Y25" s="188"/>
      <c r="Z25" s="188"/>
      <c r="AA25" s="188"/>
      <c r="AB25" s="188"/>
      <c r="AC25" s="188"/>
      <c r="AD25" s="188"/>
      <c r="AE25" s="188"/>
      <c r="AF25" s="188"/>
      <c r="AG25" s="188"/>
      <c r="AH25" s="188"/>
      <c r="AI25" s="188"/>
      <c r="AJ25" s="188"/>
      <c r="AK25" s="188"/>
      <c r="AL25" s="188"/>
      <c r="AM25" s="188"/>
      <c r="AN25" s="188"/>
      <c r="AO25" s="188"/>
      <c r="AP25" s="188"/>
      <c r="AQ25" s="188"/>
      <c r="AR25" s="188"/>
      <c r="AS25" s="188"/>
      <c r="AT25" s="188"/>
      <c r="AU25" s="188"/>
      <c r="AV25" s="188"/>
      <c r="AW25" s="188"/>
      <c r="AX25" s="188"/>
      <c r="AY25" s="188"/>
      <c r="AZ25" s="188"/>
      <c r="BA25" s="188"/>
      <c r="BB25" s="188"/>
      <c r="BC25" s="188"/>
    </row>
    <row r="26" customFormat="false" ht="15" hidden="false" customHeight="false" outlineLevel="0" collapsed="false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88"/>
      <c r="AJ26" s="188"/>
      <c r="AK26" s="188"/>
      <c r="AL26" s="188"/>
      <c r="AM26" s="188"/>
      <c r="AN26" s="188"/>
      <c r="AO26" s="188"/>
      <c r="AP26" s="188"/>
      <c r="AQ26" s="188"/>
      <c r="AR26" s="188"/>
      <c r="AS26" s="188"/>
      <c r="AT26" s="188"/>
      <c r="AU26" s="188"/>
      <c r="AV26" s="188"/>
      <c r="AW26" s="188"/>
      <c r="AX26" s="188"/>
      <c r="AY26" s="188"/>
      <c r="AZ26" s="188"/>
      <c r="BA26" s="188"/>
      <c r="BB26" s="188"/>
      <c r="BC26" s="188"/>
    </row>
    <row r="27" customFormat="false" ht="15" hidden="false" customHeight="false" outlineLevel="0" collapsed="false">
      <c r="A27" s="188"/>
      <c r="B27" s="188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  <c r="U27" s="188"/>
      <c r="V27" s="188"/>
      <c r="W27" s="188"/>
      <c r="X27" s="188"/>
      <c r="Y27" s="188"/>
      <c r="Z27" s="188"/>
      <c r="AA27" s="188"/>
      <c r="AB27" s="188"/>
      <c r="AC27" s="188"/>
      <c r="AD27" s="188"/>
      <c r="AE27" s="188"/>
      <c r="AF27" s="188"/>
      <c r="AG27" s="188"/>
      <c r="AH27" s="188"/>
      <c r="AI27" s="188"/>
      <c r="AJ27" s="188"/>
      <c r="AK27" s="188"/>
      <c r="AL27" s="188"/>
      <c r="AM27" s="188"/>
      <c r="AN27" s="188"/>
      <c r="AO27" s="188"/>
      <c r="AP27" s="188"/>
      <c r="AQ27" s="188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</row>
    <row r="28" customFormat="false" ht="15" hidden="false" customHeight="false" outlineLevel="0" collapsed="false">
      <c r="A28" s="188"/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AE28" s="188"/>
      <c r="AF28" s="188"/>
      <c r="AG28" s="188"/>
      <c r="AH28" s="188"/>
      <c r="AI28" s="188"/>
      <c r="AJ28" s="188"/>
      <c r="AK28" s="188"/>
      <c r="AL28" s="188"/>
      <c r="AM28" s="188"/>
      <c r="AN28" s="188"/>
      <c r="AO28" s="188"/>
      <c r="AP28" s="188"/>
      <c r="AQ28" s="188"/>
      <c r="AR28" s="188"/>
      <c r="AS28" s="188"/>
      <c r="AT28" s="188"/>
      <c r="AU28" s="188"/>
      <c r="AV28" s="188"/>
      <c r="AW28" s="188"/>
      <c r="AX28" s="188"/>
      <c r="AY28" s="188"/>
      <c r="AZ28" s="188"/>
      <c r="BA28" s="188"/>
      <c r="BB28" s="188"/>
      <c r="BC28" s="188"/>
    </row>
  </sheetData>
  <sheetProtection sheet="true" password="c71f" objects="true" scenarios="true" selectLockedCells="true" selectUnlockedCells="true"/>
  <mergeCells count="69">
    <mergeCell ref="A1:AX1"/>
    <mergeCell ref="A3:Q3"/>
    <mergeCell ref="R3:AH3"/>
    <mergeCell ref="AI3:AX3"/>
    <mergeCell ref="A5:L5"/>
    <mergeCell ref="M5:AB5"/>
    <mergeCell ref="AC5:AQ5"/>
    <mergeCell ref="AR5:AX5"/>
    <mergeCell ref="A6:L6"/>
    <mergeCell ref="M6:AB6"/>
    <mergeCell ref="AC6:AQ6"/>
    <mergeCell ref="AR6:AX6"/>
    <mergeCell ref="A7:L7"/>
    <mergeCell ref="M7:AB7"/>
    <mergeCell ref="AC7:AQ7"/>
    <mergeCell ref="AR7:AX7"/>
    <mergeCell ref="A8:L8"/>
    <mergeCell ref="M8:AB8"/>
    <mergeCell ref="AC8:AQ8"/>
    <mergeCell ref="AR8:AX8"/>
    <mergeCell ref="A9:L9"/>
    <mergeCell ref="M9:AB9"/>
    <mergeCell ref="AC9:AQ9"/>
    <mergeCell ref="AR9:AX9"/>
    <mergeCell ref="A10:L10"/>
    <mergeCell ref="M10:AB10"/>
    <mergeCell ref="AC10:AQ10"/>
    <mergeCell ref="AR10:AX10"/>
    <mergeCell ref="A11:L11"/>
    <mergeCell ref="M11:AB11"/>
    <mergeCell ref="AC11:AQ11"/>
    <mergeCell ref="AR11:AX11"/>
    <mergeCell ref="A12:P12"/>
    <mergeCell ref="A13:L13"/>
    <mergeCell ref="M13:AB13"/>
    <mergeCell ref="AC13:AQ13"/>
    <mergeCell ref="AR13:AX13"/>
    <mergeCell ref="A14:L14"/>
    <mergeCell ref="M14:AB14"/>
    <mergeCell ref="AC14:AQ14"/>
    <mergeCell ref="AR14:AX14"/>
    <mergeCell ref="A15:L15"/>
    <mergeCell ref="M15:AB15"/>
    <mergeCell ref="AC15:AQ15"/>
    <mergeCell ref="AR15:AX15"/>
    <mergeCell ref="A16:L16"/>
    <mergeCell ref="M16:AB16"/>
    <mergeCell ref="AC16:AQ16"/>
    <mergeCell ref="AR16:AX16"/>
    <mergeCell ref="A17:L17"/>
    <mergeCell ref="M17:AB17"/>
    <mergeCell ref="AC17:AQ17"/>
    <mergeCell ref="AR17:AX17"/>
    <mergeCell ref="A18:L18"/>
    <mergeCell ref="M18:AB18"/>
    <mergeCell ref="AC18:AQ18"/>
    <mergeCell ref="AR18:AX18"/>
    <mergeCell ref="A19:L19"/>
    <mergeCell ref="M19:AB19"/>
    <mergeCell ref="AC19:AQ19"/>
    <mergeCell ref="AR19:AX19"/>
    <mergeCell ref="Q20:AE20"/>
    <mergeCell ref="A21:L21"/>
    <mergeCell ref="M21:AB21"/>
    <mergeCell ref="AC21:AQ21"/>
    <mergeCell ref="AR21:AX21"/>
    <mergeCell ref="M22:Q22"/>
    <mergeCell ref="R22:AD22"/>
    <mergeCell ref="AE22:A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F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.70703125" defaultRowHeight="15" zeroHeight="false" outlineLevelRow="0" outlineLevelCol="0"/>
  <cols>
    <col collapsed="false" customWidth="false" hidden="false" outlineLevel="0" max="16384" min="1" style="190" width="1.71"/>
  </cols>
  <sheetData>
    <row r="1" customFormat="false" ht="15" hidden="false" customHeight="false" outlineLevel="0" collapsed="false">
      <c r="A1" s="191" t="s">
        <v>227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2"/>
      <c r="AZ1" s="192"/>
      <c r="BA1" s="192"/>
      <c r="BB1" s="192"/>
      <c r="BC1" s="192"/>
    </row>
    <row r="2" customFormat="false" ht="5.25" hidden="false" customHeight="true" outlineLevel="0" collapsed="false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93"/>
    </row>
    <row r="3" customFormat="false" ht="15" hidden="false" customHeight="false" outlineLevel="0" collapsed="false">
      <c r="A3" s="194" t="str">
        <f aca="false">Service2!C14</f>
        <v>5 октября</v>
      </c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5" t="str">
        <f aca="false">Service2!C10</f>
        <v>Суббота</v>
      </c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6" t="s">
        <v>228</v>
      </c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7"/>
      <c r="AZ3" s="197"/>
      <c r="BA3" s="197"/>
      <c r="BB3" s="197"/>
      <c r="BC3" s="197"/>
      <c r="BD3" s="198"/>
      <c r="BE3" s="198"/>
      <c r="BF3" s="198"/>
    </row>
    <row r="4" customFormat="false" ht="15" hidden="false" customHeight="false" outlineLevel="0" collapsed="false">
      <c r="A4" s="199"/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200"/>
      <c r="AZ4" s="200"/>
      <c r="BA4" s="200"/>
      <c r="BB4" s="200"/>
      <c r="BC4" s="200"/>
      <c r="BD4" s="198"/>
      <c r="BE4" s="198"/>
      <c r="BF4" s="198"/>
    </row>
    <row r="5" customFormat="false" ht="15" hidden="false" customHeight="false" outlineLevel="0" collapsed="false">
      <c r="A5" s="201" t="str">
        <f aca="false">Service1!C9</f>
        <v>Усть-Ишим</v>
      </c>
      <c r="B5" s="201"/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177" t="str">
        <f aca="false">Service2!AE10</f>
        <v> Облачно с прояснениями</v>
      </c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 t="str">
        <f aca="false">Service2!AF10</f>
        <v>Без осадков</v>
      </c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201" t="str">
        <f aca="false">Service2!Z10</f>
        <v>+14°</v>
      </c>
      <c r="AS5" s="201"/>
      <c r="AT5" s="201"/>
      <c r="AU5" s="201"/>
      <c r="AV5" s="201"/>
      <c r="AW5" s="201"/>
      <c r="AX5" s="201"/>
      <c r="AY5" s="202"/>
      <c r="AZ5" s="202"/>
      <c r="BA5" s="202"/>
      <c r="BB5" s="202"/>
      <c r="BC5" s="202"/>
      <c r="BD5" s="198"/>
      <c r="BE5" s="198"/>
      <c r="BF5" s="198"/>
    </row>
    <row r="6" customFormat="false" ht="15" hidden="false" customHeight="false" outlineLevel="0" collapsed="false">
      <c r="A6" s="201" t="str">
        <f aca="false">Service1!C10</f>
        <v>Тара</v>
      </c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177" t="str">
        <f aca="false">Service2!AE11</f>
        <v> Облачно с прояснениями</v>
      </c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 t="str">
        <f aca="false">Service2!AF11</f>
        <v>Без осадков</v>
      </c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201" t="str">
        <f aca="false">Service2!Z11</f>
        <v>+15°</v>
      </c>
      <c r="AS6" s="201"/>
      <c r="AT6" s="201"/>
      <c r="AU6" s="201"/>
      <c r="AV6" s="201"/>
      <c r="AW6" s="201"/>
      <c r="AX6" s="201"/>
      <c r="AY6" s="202"/>
      <c r="AZ6" s="202"/>
      <c r="BA6" s="202"/>
      <c r="BB6" s="202"/>
      <c r="BC6" s="202"/>
      <c r="BD6" s="198"/>
      <c r="BE6" s="198"/>
      <c r="BF6" s="198"/>
    </row>
    <row r="7" customFormat="false" ht="15" hidden="false" customHeight="false" outlineLevel="0" collapsed="false">
      <c r="A7" s="201" t="str">
        <f aca="false">Service1!C11</f>
        <v>Тюкалинск</v>
      </c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177" t="str">
        <f aca="false">Service2!AE12</f>
        <v> Ясно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 t="str">
        <f aca="false">Service2!AF12</f>
        <v>Без осадков</v>
      </c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201" t="str">
        <f aca="false">Service2!Z12</f>
        <v>+16°</v>
      </c>
      <c r="AS7" s="201"/>
      <c r="AT7" s="201"/>
      <c r="AU7" s="201"/>
      <c r="AV7" s="201"/>
      <c r="AW7" s="201"/>
      <c r="AX7" s="201"/>
      <c r="AY7" s="202"/>
      <c r="AZ7" s="202"/>
      <c r="BA7" s="202"/>
      <c r="BB7" s="202"/>
      <c r="BC7" s="202"/>
      <c r="BD7" s="198"/>
      <c r="BE7" s="198"/>
      <c r="BF7" s="198"/>
    </row>
    <row r="8" customFormat="false" ht="15" hidden="false" customHeight="false" outlineLevel="0" collapsed="false">
      <c r="A8" s="201" t="str">
        <f aca="false">Service1!C12</f>
        <v>Большеречье</v>
      </c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177" t="str">
        <f aca="false">Service2!AE13</f>
        <v> Облачно с прояснениями</v>
      </c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 t="str">
        <f aca="false">Service2!AF13</f>
        <v>Без осадков</v>
      </c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201" t="str">
        <f aca="false">Service2!Z13</f>
        <v>+16°</v>
      </c>
      <c r="AS8" s="201"/>
      <c r="AT8" s="201"/>
      <c r="AU8" s="201"/>
      <c r="AV8" s="201"/>
      <c r="AW8" s="201"/>
      <c r="AX8" s="201"/>
      <c r="AY8" s="202"/>
      <c r="AZ8" s="202"/>
      <c r="BA8" s="202"/>
      <c r="BB8" s="202"/>
      <c r="BC8" s="202"/>
      <c r="BD8" s="198"/>
      <c r="BE8" s="198"/>
      <c r="BF8" s="198"/>
    </row>
    <row r="9" customFormat="false" ht="15" hidden="false" customHeight="false" outlineLevel="0" collapsed="false">
      <c r="A9" s="201" t="str">
        <f aca="false">Service1!C13</f>
        <v>Называевск</v>
      </c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  <c r="M9" s="177" t="str">
        <f aca="false">Service2!AE14</f>
        <v> Ясно</v>
      </c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 t="str">
        <f aca="false">Service2!AF14</f>
        <v>Без осадков</v>
      </c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201" t="str">
        <f aca="false">Service2!Z14</f>
        <v>+16°</v>
      </c>
      <c r="AS9" s="201"/>
      <c r="AT9" s="201"/>
      <c r="AU9" s="201"/>
      <c r="AV9" s="201"/>
      <c r="AW9" s="201"/>
      <c r="AX9" s="201"/>
      <c r="AY9" s="202"/>
      <c r="AZ9" s="202"/>
      <c r="BA9" s="202"/>
      <c r="BB9" s="202"/>
      <c r="BC9" s="202"/>
      <c r="BD9" s="198"/>
      <c r="BE9" s="198"/>
      <c r="BF9" s="198"/>
    </row>
    <row r="10" customFormat="false" ht="15" hidden="false" customHeight="false" outlineLevel="0" collapsed="false">
      <c r="A10" s="201" t="str">
        <f aca="false">Service1!C14</f>
        <v>Тевриз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177" t="str">
        <f aca="false">Service2!AE15</f>
        <v> Облачно с прояснениями</v>
      </c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 t="str">
        <f aca="false">Service2!AF15</f>
        <v>Без осадков</v>
      </c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201" t="str">
        <f aca="false">Service2!Z15</f>
        <v>+14°</v>
      </c>
      <c r="AS10" s="201"/>
      <c r="AT10" s="201"/>
      <c r="AU10" s="201"/>
      <c r="AV10" s="201"/>
      <c r="AW10" s="201"/>
      <c r="AX10" s="201"/>
      <c r="AY10" s="202"/>
      <c r="AZ10" s="202"/>
      <c r="BA10" s="202"/>
      <c r="BB10" s="202"/>
      <c r="BC10" s="202"/>
      <c r="BD10" s="198"/>
      <c r="BE10" s="198"/>
      <c r="BF10" s="198"/>
    </row>
    <row r="11" customFormat="false" ht="15" hidden="false" customHeight="false" outlineLevel="0" collapsed="false">
      <c r="A11" s="201" t="str">
        <f aca="false">Service1!C15</f>
        <v>Саргатское</v>
      </c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177" t="str">
        <f aca="false">Service2!AE16</f>
        <v> Облачно с прояснениями</v>
      </c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 t="str">
        <f aca="false">Service2!AF16</f>
        <v>Без осадков</v>
      </c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201" t="str">
        <f aca="false">Service2!Z16</f>
        <v>+16°</v>
      </c>
      <c r="AS11" s="201"/>
      <c r="AT11" s="201"/>
      <c r="AU11" s="201"/>
      <c r="AV11" s="201"/>
      <c r="AW11" s="201"/>
      <c r="AX11" s="201"/>
      <c r="AY11" s="202"/>
      <c r="AZ11" s="202"/>
      <c r="BA11" s="202"/>
      <c r="BB11" s="202"/>
      <c r="BC11" s="202"/>
      <c r="BD11" s="198"/>
      <c r="BE11" s="198"/>
      <c r="BF11" s="198"/>
    </row>
    <row r="12" customFormat="false" ht="15" hidden="false" customHeight="false" outlineLevel="0" collapsed="false">
      <c r="A12" s="203"/>
      <c r="B12" s="203"/>
      <c r="C12" s="203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5"/>
      <c r="AD12" s="205"/>
      <c r="AE12" s="205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199"/>
      <c r="AX12" s="199"/>
      <c r="AY12" s="200"/>
      <c r="AZ12" s="200"/>
      <c r="BA12" s="200"/>
      <c r="BB12" s="200"/>
      <c r="BC12" s="200"/>
      <c r="BD12" s="198"/>
      <c r="BE12" s="198"/>
      <c r="BF12" s="198"/>
    </row>
    <row r="13" customFormat="false" ht="15" hidden="false" customHeight="false" outlineLevel="0" collapsed="false">
      <c r="A13" s="201" t="str">
        <f aca="false">Service1!D9</f>
        <v>Исилькуль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6" t="str">
        <f aca="false">Service2!AE17</f>
        <v> Ясно</v>
      </c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177" t="str">
        <f aca="false">Service2!AF17</f>
        <v>Без осадков</v>
      </c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201" t="str">
        <f aca="false">Service2!Z17</f>
        <v>+17°</v>
      </c>
      <c r="AS13" s="201"/>
      <c r="AT13" s="201"/>
      <c r="AU13" s="201"/>
      <c r="AV13" s="201"/>
      <c r="AW13" s="201"/>
      <c r="AX13" s="201"/>
      <c r="AY13" s="202"/>
      <c r="AZ13" s="202"/>
      <c r="BA13" s="202"/>
      <c r="BB13" s="202"/>
      <c r="BC13" s="202"/>
      <c r="BD13" s="198"/>
      <c r="BE13" s="198"/>
      <c r="BF13" s="198"/>
    </row>
    <row r="14" customFormat="false" ht="15" hidden="false" customHeight="false" outlineLevel="0" collapsed="false">
      <c r="A14" s="201" t="str">
        <f aca="false">Service1!D10</f>
        <v>Калачинск</v>
      </c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6" t="str">
        <f aca="false">Service2!AE18</f>
        <v> Ясно</v>
      </c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177" t="str">
        <f aca="false">Service2!AF18</f>
        <v>Без осадков</v>
      </c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201" t="str">
        <f aca="false">Service2!Z18</f>
        <v>+16°</v>
      </c>
      <c r="AS14" s="201"/>
      <c r="AT14" s="201"/>
      <c r="AU14" s="201"/>
      <c r="AV14" s="201"/>
      <c r="AW14" s="201"/>
      <c r="AX14" s="201"/>
      <c r="AY14" s="202"/>
      <c r="AZ14" s="202"/>
      <c r="BA14" s="202"/>
      <c r="BB14" s="202"/>
      <c r="BC14" s="202"/>
      <c r="BD14" s="198"/>
      <c r="BE14" s="198"/>
      <c r="BF14" s="198"/>
    </row>
    <row r="15" customFormat="false" ht="15" hidden="false" customHeight="false" outlineLevel="0" collapsed="false">
      <c r="A15" s="201" t="str">
        <f aca="false">Service1!D11</f>
        <v>Полтавка</v>
      </c>
      <c r="B15" s="201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6" t="str">
        <f aca="false">Service2!AE19</f>
        <v> Ясно</v>
      </c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177" t="str">
        <f aca="false">Service2!AF19</f>
        <v>Без осадков</v>
      </c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201" t="str">
        <f aca="false">Service2!Z19</f>
        <v>+18°</v>
      </c>
      <c r="AS15" s="201"/>
      <c r="AT15" s="201"/>
      <c r="AU15" s="201"/>
      <c r="AV15" s="201"/>
      <c r="AW15" s="201"/>
      <c r="AX15" s="201"/>
      <c r="AY15" s="202"/>
      <c r="AZ15" s="202"/>
      <c r="BA15" s="202"/>
      <c r="BB15" s="202"/>
      <c r="BC15" s="202"/>
      <c r="BD15" s="198"/>
      <c r="BE15" s="198"/>
      <c r="BF15" s="198"/>
    </row>
    <row r="16" customFormat="false" ht="15" hidden="false" customHeight="false" outlineLevel="0" collapsed="false">
      <c r="A16" s="201" t="str">
        <f aca="false">Service1!D12</f>
        <v>Русская Поляна</v>
      </c>
      <c r="B16" s="201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6" t="str">
        <f aca="false">Service2!AE20</f>
        <v> Ясно</v>
      </c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177" t="str">
        <f aca="false">Service2!AF20</f>
        <v>Без осадков</v>
      </c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201" t="str">
        <f aca="false">Service2!Z20</f>
        <v>+17°</v>
      </c>
      <c r="AS16" s="201"/>
      <c r="AT16" s="201"/>
      <c r="AU16" s="201"/>
      <c r="AV16" s="201"/>
      <c r="AW16" s="201"/>
      <c r="AX16" s="201"/>
      <c r="AY16" s="202"/>
      <c r="AZ16" s="202"/>
      <c r="BA16" s="202"/>
      <c r="BB16" s="202"/>
      <c r="BC16" s="202"/>
      <c r="BD16" s="198"/>
      <c r="BE16" s="198"/>
      <c r="BF16" s="198"/>
    </row>
    <row r="17" customFormat="false" ht="15" hidden="false" customHeight="false" outlineLevel="0" collapsed="false">
      <c r="A17" s="201" t="str">
        <f aca="false">Service1!D13</f>
        <v>Черлак</v>
      </c>
      <c r="B17" s="201"/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M17" s="206" t="str">
        <f aca="false">Service2!AE21</f>
        <v> Ясно</v>
      </c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177" t="str">
        <f aca="false">Service2!AF21</f>
        <v>Без осадков</v>
      </c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201" t="str">
        <f aca="false">Service2!Z21</f>
        <v>+17°</v>
      </c>
      <c r="AS17" s="201"/>
      <c r="AT17" s="201"/>
      <c r="AU17" s="201"/>
      <c r="AV17" s="201"/>
      <c r="AW17" s="201"/>
      <c r="AX17" s="201"/>
      <c r="AY17" s="202"/>
      <c r="AZ17" s="202"/>
      <c r="BA17" s="202"/>
      <c r="BB17" s="202"/>
      <c r="BC17" s="202"/>
      <c r="BD17" s="198"/>
      <c r="BE17" s="198"/>
      <c r="BF17" s="198"/>
    </row>
    <row r="18" customFormat="false" ht="15" hidden="false" customHeight="false" outlineLevel="0" collapsed="false">
      <c r="A18" s="201" t="str">
        <f aca="false">Service1!D14</f>
        <v>Одесское</v>
      </c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6" t="str">
        <f aca="false">Service2!AE22</f>
        <v> Ясно</v>
      </c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177" t="str">
        <f aca="false">Service2!AF22</f>
        <v>Без осадков</v>
      </c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201" t="str">
        <f aca="false">Service2!Z22</f>
        <v>+17°</v>
      </c>
      <c r="AS18" s="201"/>
      <c r="AT18" s="201"/>
      <c r="AU18" s="201"/>
      <c r="AV18" s="201"/>
      <c r="AW18" s="201"/>
      <c r="AX18" s="201"/>
      <c r="AY18" s="202"/>
      <c r="AZ18" s="202"/>
      <c r="BA18" s="202"/>
      <c r="BB18" s="202"/>
      <c r="BC18" s="202"/>
      <c r="BD18" s="198"/>
      <c r="BE18" s="198"/>
      <c r="BF18" s="198"/>
    </row>
    <row r="19" customFormat="false" ht="15" hidden="false" customHeight="false" outlineLevel="0" collapsed="false">
      <c r="A19" s="201" t="str">
        <f aca="false">Service1!D15</f>
        <v>Павлоградка</v>
      </c>
      <c r="B19" s="201"/>
      <c r="C19" s="201"/>
      <c r="D19" s="201"/>
      <c r="E19" s="201"/>
      <c r="F19" s="201"/>
      <c r="G19" s="201"/>
      <c r="H19" s="201"/>
      <c r="I19" s="201"/>
      <c r="J19" s="201"/>
      <c r="K19" s="201"/>
      <c r="L19" s="201"/>
      <c r="M19" s="206" t="str">
        <f aca="false">Service2!AE23</f>
        <v> Ясно</v>
      </c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177" t="str">
        <f aca="false">Service2!AF23</f>
        <v>Без осадков</v>
      </c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201" t="str">
        <f aca="false">Service2!Z23</f>
        <v>+17°</v>
      </c>
      <c r="AS19" s="201"/>
      <c r="AT19" s="201"/>
      <c r="AU19" s="201"/>
      <c r="AV19" s="201"/>
      <c r="AW19" s="201"/>
      <c r="AX19" s="201"/>
      <c r="AY19" s="202"/>
      <c r="AZ19" s="202"/>
      <c r="BA19" s="202"/>
      <c r="BB19" s="202"/>
      <c r="BC19" s="202"/>
      <c r="BD19" s="198"/>
      <c r="BE19" s="198"/>
      <c r="BF19" s="198"/>
    </row>
    <row r="20" customFormat="false" ht="15" hidden="false" customHeight="false" outlineLevel="0" collapsed="false">
      <c r="A20" s="199"/>
      <c r="B20" s="199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7"/>
      <c r="AG20" s="199"/>
      <c r="AH20" s="199"/>
      <c r="AI20" s="199"/>
      <c r="AJ20" s="199"/>
      <c r="AK20" s="199"/>
      <c r="AL20" s="199"/>
      <c r="AM20" s="199"/>
      <c r="AN20" s="199"/>
      <c r="AO20" s="199"/>
      <c r="AP20" s="199"/>
      <c r="AQ20" s="199"/>
      <c r="AR20" s="199"/>
      <c r="AS20" s="199"/>
      <c r="AT20" s="199"/>
      <c r="AU20" s="199"/>
      <c r="AV20" s="199"/>
      <c r="AW20" s="199"/>
      <c r="AX20" s="199"/>
      <c r="AY20" s="200"/>
      <c r="AZ20" s="200"/>
      <c r="BA20" s="200"/>
      <c r="BB20" s="200"/>
      <c r="BC20" s="200"/>
      <c r="BD20" s="198"/>
      <c r="BE20" s="198"/>
      <c r="BF20" s="198"/>
    </row>
    <row r="21" customFormat="false" ht="15" hidden="false" customHeight="false" outlineLevel="0" collapsed="false">
      <c r="A21" s="201" t="str">
        <f aca="false">Service1!C6</f>
        <v>Омск</v>
      </c>
      <c r="B21" s="201"/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177" t="str">
        <f aca="false">Service2!AE9</f>
        <v> Ясно</v>
      </c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208" t="str">
        <f aca="false">Service2!AF9</f>
        <v>Без осадков</v>
      </c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1" t="str">
        <f aca="false">Service2!Z9</f>
        <v>+16°</v>
      </c>
      <c r="AS21" s="201"/>
      <c r="AT21" s="201"/>
      <c r="AU21" s="201"/>
      <c r="AV21" s="201"/>
      <c r="AW21" s="201"/>
      <c r="AX21" s="201"/>
      <c r="AY21" s="202"/>
      <c r="AZ21" s="202"/>
      <c r="BA21" s="202"/>
      <c r="BB21" s="202"/>
      <c r="BC21" s="202"/>
      <c r="BD21" s="198"/>
      <c r="BE21" s="198"/>
      <c r="BF21" s="198"/>
    </row>
    <row r="22" s="212" customFormat="true" ht="17.35" hidden="false" customHeight="false" outlineLevel="0" collapsed="false">
      <c r="A22" s="199"/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209" t="s">
        <v>229</v>
      </c>
      <c r="N22" s="209"/>
      <c r="O22" s="209"/>
      <c r="P22" s="209"/>
      <c r="Q22" s="209"/>
      <c r="R22" s="210" t="str">
        <f aca="false">LOWER(Service2!Y6)</f>
        <v>южный</v>
      </c>
      <c r="S22" s="210"/>
      <c r="T22" s="210"/>
      <c r="U22" s="210"/>
      <c r="V22" s="210"/>
      <c r="W22" s="210"/>
      <c r="X22" s="210"/>
      <c r="Y22" s="210"/>
      <c r="Z22" s="210"/>
      <c r="AA22" s="210"/>
      <c r="AB22" s="210"/>
      <c r="AC22" s="210"/>
      <c r="AD22" s="210"/>
      <c r="AE22" s="211" t="str">
        <f aca="false">Service2!AA6</f>
        <v>2 м/с</v>
      </c>
      <c r="AF22" s="211"/>
      <c r="AG22" s="211"/>
      <c r="AH22" s="211"/>
      <c r="AI22" s="211"/>
      <c r="AJ22" s="211"/>
      <c r="AK22" s="211"/>
      <c r="AL22" s="211"/>
      <c r="AM22" s="211"/>
      <c r="AP22" s="199"/>
      <c r="AQ22" s="199"/>
      <c r="AR22" s="199"/>
      <c r="AS22" s="199"/>
      <c r="AT22" s="199"/>
      <c r="AU22" s="199"/>
      <c r="AV22" s="199"/>
      <c r="AW22" s="199"/>
      <c r="AX22" s="199"/>
      <c r="AY22" s="200"/>
      <c r="AZ22" s="200"/>
      <c r="BA22" s="200"/>
      <c r="BB22" s="200"/>
      <c r="BC22" s="200"/>
      <c r="BD22" s="213"/>
      <c r="BE22" s="213"/>
      <c r="BF22" s="213"/>
    </row>
    <row r="23" customFormat="false" ht="15" hidden="false" customHeight="false" outlineLevel="0" collapsed="false">
      <c r="A23" s="214"/>
      <c r="B23" s="214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5"/>
      <c r="AZ23" s="215"/>
      <c r="BA23" s="215"/>
      <c r="BB23" s="215"/>
      <c r="BC23" s="215"/>
      <c r="BD23" s="198"/>
      <c r="BE23" s="198"/>
      <c r="BF23" s="198"/>
    </row>
    <row r="24" customFormat="false" ht="15" hidden="false" customHeight="false" outlineLevel="0" collapsed="false">
      <c r="A24" s="214"/>
      <c r="B24" s="214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</row>
    <row r="25" customFormat="false" ht="15" hidden="false" customHeight="false" outlineLevel="0" collapsed="false">
      <c r="A25" s="214"/>
      <c r="B25" s="214"/>
      <c r="C25" s="214"/>
      <c r="D25" s="214"/>
      <c r="E25" s="214"/>
      <c r="F25" s="214"/>
      <c r="G25" s="214"/>
      <c r="H25" s="214"/>
      <c r="I25" s="214"/>
      <c r="J25" s="214"/>
      <c r="K25" s="214"/>
      <c r="L25" s="214"/>
      <c r="M25" s="214"/>
      <c r="N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</row>
    <row r="26" customFormat="false" ht="15" hidden="false" customHeight="false" outlineLevel="0" collapsed="false">
      <c r="A26" s="214"/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</row>
    <row r="27" customFormat="false" ht="15" hidden="false" customHeight="false" outlineLevel="0" collapsed="false">
      <c r="A27" s="214"/>
      <c r="B27" s="214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</row>
    <row r="28" customFormat="false" ht="15" hidden="false" customHeight="false" outlineLevel="0" collapsed="false">
      <c r="A28" s="214"/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</row>
  </sheetData>
  <sheetProtection sheet="true" password="c71f" objects="true" scenarios="true" selectLockedCells="true" selectUnlockedCells="true"/>
  <mergeCells count="69">
    <mergeCell ref="A1:AX1"/>
    <mergeCell ref="A3:Q3"/>
    <mergeCell ref="R3:AH3"/>
    <mergeCell ref="AI3:AX3"/>
    <mergeCell ref="A5:L5"/>
    <mergeCell ref="M5:AB5"/>
    <mergeCell ref="AC5:AQ5"/>
    <mergeCell ref="AR5:AX5"/>
    <mergeCell ref="A6:L6"/>
    <mergeCell ref="M6:AB6"/>
    <mergeCell ref="AC6:AQ6"/>
    <mergeCell ref="AR6:AX6"/>
    <mergeCell ref="A7:L7"/>
    <mergeCell ref="M7:AB7"/>
    <mergeCell ref="AC7:AQ7"/>
    <mergeCell ref="AR7:AX7"/>
    <mergeCell ref="A8:L8"/>
    <mergeCell ref="M8:AB8"/>
    <mergeCell ref="AC8:AQ8"/>
    <mergeCell ref="AR8:AX8"/>
    <mergeCell ref="A9:L9"/>
    <mergeCell ref="M9:AB9"/>
    <mergeCell ref="AC9:AQ9"/>
    <mergeCell ref="AR9:AX9"/>
    <mergeCell ref="A10:L10"/>
    <mergeCell ref="M10:AB10"/>
    <mergeCell ref="AC10:AQ10"/>
    <mergeCell ref="AR10:AX10"/>
    <mergeCell ref="A11:L11"/>
    <mergeCell ref="M11:AB11"/>
    <mergeCell ref="AC11:AQ11"/>
    <mergeCell ref="AR11:AX11"/>
    <mergeCell ref="A12:P12"/>
    <mergeCell ref="A13:L13"/>
    <mergeCell ref="M13:AB13"/>
    <mergeCell ref="AC13:AQ13"/>
    <mergeCell ref="AR13:AX13"/>
    <mergeCell ref="A14:L14"/>
    <mergeCell ref="M14:AB14"/>
    <mergeCell ref="AC14:AQ14"/>
    <mergeCell ref="AR14:AX14"/>
    <mergeCell ref="A15:L15"/>
    <mergeCell ref="M15:AB15"/>
    <mergeCell ref="AC15:AQ15"/>
    <mergeCell ref="AR15:AX15"/>
    <mergeCell ref="A16:L16"/>
    <mergeCell ref="M16:AB16"/>
    <mergeCell ref="AC16:AQ16"/>
    <mergeCell ref="AR16:AX16"/>
    <mergeCell ref="A17:L17"/>
    <mergeCell ref="M17:AB17"/>
    <mergeCell ref="AC17:AQ17"/>
    <mergeCell ref="AR17:AX17"/>
    <mergeCell ref="A18:L18"/>
    <mergeCell ref="M18:AB18"/>
    <mergeCell ref="AC18:AQ18"/>
    <mergeCell ref="AR18:AX18"/>
    <mergeCell ref="A19:L19"/>
    <mergeCell ref="M19:AB19"/>
    <mergeCell ref="AC19:AQ19"/>
    <mergeCell ref="AR19:AX19"/>
    <mergeCell ref="Q20:AE20"/>
    <mergeCell ref="A21:L21"/>
    <mergeCell ref="M21:AB21"/>
    <mergeCell ref="AC21:AQ21"/>
    <mergeCell ref="AR21:AX21"/>
    <mergeCell ref="M22:Q22"/>
    <mergeCell ref="R22:AD22"/>
    <mergeCell ref="AE22:A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.70703125" defaultRowHeight="15" zeroHeight="false" outlineLevelRow="0" outlineLevelCol="0"/>
  <cols>
    <col collapsed="false" customWidth="false" hidden="false" outlineLevel="0" max="16" min="1" style="190" width="1.71"/>
    <col collapsed="false" customWidth="true" hidden="false" outlineLevel="0" max="17" min="17" style="190" width="15.72"/>
    <col collapsed="false" customWidth="true" hidden="false" outlineLevel="0" max="18" min="18" style="190" width="35.72"/>
    <col collapsed="false" customWidth="false" hidden="false" outlineLevel="0" max="16384" min="19" style="190" width="1.71"/>
  </cols>
  <sheetData>
    <row r="1" customFormat="false" ht="17.35" hidden="false" customHeight="false" outlineLevel="0" collapsed="false">
      <c r="A1" s="216" t="s">
        <v>230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customFormat="false" ht="10.5" hidden="false" customHeight="true" outlineLevel="0" collapsed="false"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</row>
    <row r="3" customFormat="false" ht="17.35" hidden="false" customHeight="false" outlineLevel="0" collapsed="false">
      <c r="A3" s="188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219" t="str">
        <f aca="false">CONCATENATE(Service2!C13,":")</f>
        <v>4 октября:</v>
      </c>
      <c r="S3" s="220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198"/>
      <c r="AR3" s="198"/>
      <c r="AS3" s="198"/>
      <c r="AT3" s="198"/>
      <c r="AU3" s="198"/>
    </row>
    <row r="4" customFormat="false" ht="17.35" hidden="false" customHeight="false" outlineLevel="0" collapsed="false">
      <c r="A4" s="221" t="str">
        <f aca="false">Service1!C6</f>
        <v>Омск</v>
      </c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2" t="str">
        <f aca="false">Service2!H9</f>
        <v>+16°</v>
      </c>
      <c r="R4" s="223" t="str">
        <f aca="false">Service2!N9</f>
        <v>Без осадков</v>
      </c>
      <c r="S4" s="224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</row>
    <row r="5" customFormat="false" ht="17.35" hidden="false" customHeight="false" outlineLevel="0" collapsed="false">
      <c r="A5" s="221" t="str">
        <f aca="false">Service1!C9</f>
        <v>Усть-Ишим</v>
      </c>
      <c r="B5" s="221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221"/>
      <c r="Q5" s="222" t="str">
        <f aca="false">Service2!H10</f>
        <v>+14°</v>
      </c>
      <c r="R5" s="223" t="str">
        <f aca="false">Service2!N10</f>
        <v>Без осадков</v>
      </c>
      <c r="S5" s="224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</row>
    <row r="6" customFormat="false" ht="17.35" hidden="false" customHeight="false" outlineLevel="0" collapsed="false">
      <c r="A6" s="221" t="str">
        <f aca="false">Service1!C10</f>
        <v>Тара</v>
      </c>
      <c r="B6" s="221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2" t="str">
        <f aca="false">Service2!H11</f>
        <v>+15°</v>
      </c>
      <c r="R6" s="223" t="str">
        <f aca="false">Service2!N11</f>
        <v>Без осадков</v>
      </c>
      <c r="S6" s="224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</row>
    <row r="7" customFormat="false" ht="17.35" hidden="false" customHeight="false" outlineLevel="0" collapsed="false">
      <c r="A7" s="221" t="str">
        <f aca="false">Service1!C11</f>
        <v>Тюкалинск</v>
      </c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5" t="str">
        <f aca="false">Service2!H12</f>
        <v>+15°</v>
      </c>
      <c r="R7" s="223" t="str">
        <f aca="false">Service2!N12</f>
        <v>Без осадков</v>
      </c>
      <c r="S7" s="224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</row>
    <row r="8" customFormat="false" ht="17.35" hidden="false" customHeight="false" outlineLevel="0" collapsed="false">
      <c r="A8" s="221" t="str">
        <f aca="false">Service1!C12</f>
        <v>Большеречье</v>
      </c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2" t="str">
        <f aca="false">Service2!H13</f>
        <v>+16°</v>
      </c>
      <c r="R8" s="223" t="str">
        <f aca="false">Service2!N13</f>
        <v>Без осадков</v>
      </c>
      <c r="S8" s="224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</row>
    <row r="9" customFormat="false" ht="17.35" hidden="false" customHeight="false" outlineLevel="0" collapsed="false">
      <c r="A9" s="221" t="str">
        <f aca="false">Service1!C13</f>
        <v>Называевск</v>
      </c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2" t="str">
        <f aca="false">Service2!H14</f>
        <v>+16°</v>
      </c>
      <c r="R9" s="223" t="str">
        <f aca="false">Service2!N14</f>
        <v>Без осадков</v>
      </c>
      <c r="S9" s="224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</row>
    <row r="10" customFormat="false" ht="17.35" hidden="false" customHeight="false" outlineLevel="0" collapsed="false">
      <c r="A10" s="221" t="str">
        <f aca="false">Service1!C14</f>
        <v>Тевриз</v>
      </c>
      <c r="B10" s="221"/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2" t="str">
        <f aca="false">Service2!H15</f>
        <v>+14°</v>
      </c>
      <c r="R10" s="223" t="str">
        <f aca="false">Service2!N15</f>
        <v>Без осадков</v>
      </c>
      <c r="S10" s="224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</row>
    <row r="11" customFormat="false" ht="17.35" hidden="false" customHeight="false" outlineLevel="0" collapsed="false">
      <c r="A11" s="221" t="str">
        <f aca="false">Service1!C15</f>
        <v>Саргатское</v>
      </c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2" t="str">
        <f aca="false">Service2!H16</f>
        <v>+16°</v>
      </c>
      <c r="R11" s="223" t="str">
        <f aca="false">Service2!N16</f>
        <v>Без осадков</v>
      </c>
      <c r="S11" s="226"/>
      <c r="T11" s="227"/>
      <c r="U11" s="227"/>
      <c r="V11" s="227"/>
      <c r="W11" s="227"/>
      <c r="X11" s="227"/>
      <c r="Y11" s="227"/>
      <c r="Z11" s="227"/>
      <c r="AA11" s="227"/>
      <c r="AB11" s="227"/>
      <c r="AC11" s="227"/>
      <c r="AD11" s="227"/>
      <c r="AE11" s="227"/>
      <c r="AF11" s="227"/>
      <c r="AG11" s="227"/>
      <c r="AH11" s="227"/>
      <c r="AI11" s="227"/>
      <c r="AJ11" s="227"/>
      <c r="AK11" s="227"/>
      <c r="AL11" s="227"/>
      <c r="AM11" s="227"/>
      <c r="AN11" s="227"/>
      <c r="AO11" s="227"/>
      <c r="AP11" s="227"/>
      <c r="AQ11" s="187"/>
      <c r="AR11" s="187"/>
      <c r="AS11" s="187"/>
      <c r="AT11" s="187"/>
      <c r="AU11" s="187"/>
    </row>
    <row r="12" customFormat="false" ht="17.35" hidden="false" customHeight="false" outlineLevel="0" collapsed="false">
      <c r="A12" s="221" t="str">
        <f aca="false">Service1!D9</f>
        <v>Исилькуль</v>
      </c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2" t="str">
        <f aca="false">Service2!H17</f>
        <v>+16°</v>
      </c>
      <c r="R12" s="223" t="str">
        <f aca="false">Service2!N17</f>
        <v>Без осадков</v>
      </c>
      <c r="S12" s="224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</row>
    <row r="13" customFormat="false" ht="17.35" hidden="false" customHeight="false" outlineLevel="0" collapsed="false">
      <c r="A13" s="221" t="str">
        <f aca="false">Service1!D10</f>
        <v>Калачинск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2" t="str">
        <f aca="false">Service2!H18</f>
        <v>+16°</v>
      </c>
      <c r="R13" s="223" t="str">
        <f aca="false">Service2!N18</f>
        <v>Без осадков</v>
      </c>
      <c r="S13" s="224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</row>
    <row r="14" customFormat="false" ht="17.35" hidden="false" customHeight="false" outlineLevel="0" collapsed="false">
      <c r="A14" s="221" t="str">
        <f aca="false">Service1!D11</f>
        <v>Полтавка</v>
      </c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2" t="str">
        <f aca="false">Service2!H19</f>
        <v>+16°</v>
      </c>
      <c r="R14" s="223" t="str">
        <f aca="false">Service2!N19</f>
        <v>Без осадков</v>
      </c>
      <c r="S14" s="224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</row>
    <row r="15" customFormat="false" ht="17.35" hidden="false" customHeight="false" outlineLevel="0" collapsed="false">
      <c r="A15" s="221" t="str">
        <f aca="false">Service1!D12</f>
        <v>Русская Поляна</v>
      </c>
      <c r="B15" s="221"/>
      <c r="C15" s="221"/>
      <c r="D15" s="221"/>
      <c r="E15" s="221"/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2" t="str">
        <f aca="false">Service2!H20</f>
        <v>+15°</v>
      </c>
      <c r="R15" s="223" t="str">
        <f aca="false">Service2!N20</f>
        <v>Без осадков</v>
      </c>
      <c r="S15" s="224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</row>
    <row r="16" customFormat="false" ht="17.35" hidden="false" customHeight="false" outlineLevel="0" collapsed="false">
      <c r="A16" s="221" t="str">
        <f aca="false">Service1!D13</f>
        <v>Черлак</v>
      </c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M16" s="221"/>
      <c r="N16" s="221"/>
      <c r="O16" s="221"/>
      <c r="P16" s="221"/>
      <c r="Q16" s="225" t="str">
        <f aca="false">Service2!H21</f>
        <v>+16°</v>
      </c>
      <c r="R16" s="223" t="str">
        <f aca="false">Service2!N21</f>
        <v>Без осадков</v>
      </c>
      <c r="S16" s="224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</row>
    <row r="17" customFormat="false" ht="17.35" hidden="false" customHeight="false" outlineLevel="0" collapsed="false">
      <c r="A17" s="221" t="str">
        <f aca="false">Service1!D14</f>
        <v>Одесское</v>
      </c>
      <c r="B17" s="221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2" t="str">
        <f aca="false">Service2!H22</f>
        <v>+16°</v>
      </c>
      <c r="R17" s="223" t="str">
        <f aca="false">Service2!N22</f>
        <v>Без осадков</v>
      </c>
      <c r="S17" s="224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</row>
    <row r="18" customFormat="false" ht="17.35" hidden="false" customHeight="false" outlineLevel="0" collapsed="false">
      <c r="A18" s="221" t="str">
        <f aca="false">Service1!D15</f>
        <v>Павлоградка</v>
      </c>
      <c r="B18" s="221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2" t="str">
        <f aca="false">Service2!H23</f>
        <v>+16°</v>
      </c>
      <c r="R18" s="223" t="str">
        <f aca="false">Service2!N23</f>
        <v>Без осадков</v>
      </c>
      <c r="S18" s="224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</row>
    <row r="19" customFormat="false" ht="18.75" hidden="false" customHeight="true" outlineLevel="0" collapsed="false">
      <c r="A19" s="228"/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73"/>
      <c r="AS19" s="173"/>
      <c r="AT19" s="173"/>
      <c r="AU19" s="173"/>
    </row>
    <row r="20" customFormat="false" ht="15" hidden="false" customHeight="false" outlineLevel="0" collapsed="false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</row>
    <row r="21" customFormat="false" ht="18.75" hidden="false" customHeight="true" outlineLevel="0" collapsed="false">
      <c r="A21" s="165"/>
      <c r="B21" s="165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</row>
    <row r="22" customFormat="false" ht="15" hidden="false" customHeight="false" outlineLevel="0" collapsed="false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</row>
    <row r="23" customFormat="false" ht="15" hidden="false" customHeight="false" outlineLevel="0" collapsed="false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</row>
  </sheetData>
  <sheetProtection sheet="true" password="c71f" objects="true" scenarios="true" selectLockedCells="true" selectUnlockedCells="true"/>
  <mergeCells count="16">
    <mergeCell ref="A1:R1"/>
    <mergeCell ref="A4:P4"/>
    <mergeCell ref="A5:P5"/>
    <mergeCell ref="A6:P6"/>
    <mergeCell ref="A7:P7"/>
    <mergeCell ref="A8:P8"/>
    <mergeCell ref="A9:P9"/>
    <mergeCell ref="A10:P10"/>
    <mergeCell ref="A11:P11"/>
    <mergeCell ref="A12:P12"/>
    <mergeCell ref="A13:P13"/>
    <mergeCell ref="A14:P14"/>
    <mergeCell ref="A15:P15"/>
    <mergeCell ref="A16:P16"/>
    <mergeCell ref="A17:P17"/>
    <mergeCell ref="A18:P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2020-02-17T05:31:29Z</dcterms:created>
  <dc:creator>admingtrk</dc:creator>
  <dc:description/>
  <dc:language>ru-RU</dc:language>
  <cp:lastModifiedBy/>
  <cp:lastPrinted>2020-07-28T05:06:29Z</cp:lastPrinted>
  <dcterms:modified xsi:type="dcterms:W3CDTF">2024-12-09T15:46:32Z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