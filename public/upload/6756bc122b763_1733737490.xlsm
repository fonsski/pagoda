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<sst xmlns="http://schemas.openxmlformats.org/spreadsheetml/2006/main" uniqueCount="58">
  <si>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</si>
  <si>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</si>
  <si>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</si>
  <si>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</si>
  <si>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</si>
  <si>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</si>
  <si>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</si>
  <si>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</si>
  <si>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ЮЗ</t>
  </si>
  <si>
    <t>2 м/с</t>
  </si>
  <si>
    <t>787 мм.рт.ст.</t>
  </si>
  <si>
    <t>Южный</t>
  </si>
  <si>
    <t>3</t>
  </si>
  <si>
    <t>t</t>
  </si>
  <si>
    <t>Облачность</t>
  </si>
  <si>
    <t>Явление погоды</t>
  </si>
  <si>
    <t>Омск</t>
  </si>
  <si>
    <t>-15 °C</t>
  </si>
  <si>
    <t>Малооблачно</t>
  </si>
  <si>
    <t>Без осадков</t>
  </si>
  <si>
    <t>-22 °C</t>
  </si>
  <si>
    <t xml:space="preserve"> Облачно с прояснениями</t>
  </si>
  <si>
    <t>Усть-Ишим</t>
  </si>
  <si>
    <t>-10 °C</t>
  </si>
  <si>
    <t>Переменная облачность</t>
  </si>
  <si>
    <t>-12 °C</t>
  </si>
  <si>
    <t xml:space="preserve"> Облачно</t>
  </si>
  <si>
    <t>Тара</t>
  </si>
  <si>
    <t>-19 °C</t>
  </si>
  <si>
    <t>Тюкалинск</t>
  </si>
  <si>
    <t>Ясно</t>
  </si>
  <si>
    <t>Большеречье</t>
  </si>
  <si>
    <t>-14 °C</t>
  </si>
  <si>
    <t>-21 °C</t>
  </si>
  <si>
    <t>Называевск</t>
  </si>
  <si>
    <t>-11 °C</t>
  </si>
  <si>
    <t>-18 °C</t>
  </si>
  <si>
    <t>Тевриз</t>
  </si>
  <si>
    <t>-13 °C</t>
  </si>
  <si>
    <t>Саргатское</t>
  </si>
  <si>
    <t>Исилькуль</t>
  </si>
  <si>
    <t xml:space="preserve"> Переменная облачность</t>
  </si>
  <si>
    <t>Калачинск</t>
  </si>
  <si>
    <t>-16 °C</t>
  </si>
  <si>
    <t>-23 °C</t>
  </si>
  <si>
    <t>Полтавка</t>
  </si>
  <si>
    <t>Русская Поляна</t>
  </si>
  <si>
    <t>4 °C</t>
  </si>
  <si>
    <t>Пасмурно</t>
  </si>
  <si>
    <t>3 °C</t>
  </si>
  <si>
    <t>Черлак</t>
  </si>
  <si>
    <t>-17 °C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</si>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</sst>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4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39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&#10;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
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&#10;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
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&#10;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
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</sheetPr>
  <dimension ref="A1:FC45"/>
  <sheetViews>
    <sheetView tabSelected="1" workbookViewId="0" zoomScale="70" zoomScaleNormal="70" showGridLines="true" showRowColHeaders="1" topLeftCell="A24">
      <selection activeCell="BU45" sqref="BU45"/>
    </sheetView>
  </sheetViews>
  <sheetFormatPr defaultRowHeight="14.4" defaultColWidth="1.7148437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2" t="s">
        <v>3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4"/>
      <c r="BU4" s="4"/>
      <c r="BV4" s="12" t="s">
        <v>4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2" t="s">
        <v>7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2" t="s">
        <v>7</v>
      </c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W5" s="5"/>
    </row>
    <row r="6" spans="1:159" customHeight="1" ht="24.75">
      <c r="B6" s="3"/>
      <c r="C6" s="13" t="e">
        <f>Service1!C6</f>
        <v>#REF!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 t="s">
        <v>8</v>
      </c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5" t="s">
        <v>9</v>
      </c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6" t="s">
        <v>10</v>
      </c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7"/>
      <c r="BU6" s="17"/>
      <c r="BV6" s="14" t="s">
        <v>11</v>
      </c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5" t="s">
        <v>12</v>
      </c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6">
        <v>758</v>
      </c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W6" s="5"/>
    </row>
    <row r="7" spans="1:159" customHeight="1" ht="15">
      <c r="B7" s="3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9"/>
      <c r="P7" s="19"/>
      <c r="Q7" s="19"/>
      <c r="R7" s="19"/>
      <c r="S7" s="19"/>
      <c r="T7" s="12" t="s">
        <v>13</v>
      </c>
      <c r="U7" s="12"/>
      <c r="V7" s="12"/>
      <c r="W7" s="12"/>
      <c r="X7" s="12"/>
      <c r="Y7" s="12"/>
      <c r="Z7" s="12" t="s">
        <v>14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 t="s">
        <v>15</v>
      </c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20"/>
      <c r="BV7" s="12" t="s">
        <v>13</v>
      </c>
      <c r="BW7" s="12"/>
      <c r="BX7" s="12"/>
      <c r="BY7" s="12"/>
      <c r="BZ7" s="12"/>
      <c r="CA7" s="12"/>
      <c r="CB7" s="12" t="s">
        <v>14</v>
      </c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 t="s">
        <v>15</v>
      </c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21" t="s">
        <v>16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2" t="s">
        <v>17</v>
      </c>
      <c r="U8" s="22"/>
      <c r="V8" s="22"/>
      <c r="W8" s="22"/>
      <c r="X8" s="22"/>
      <c r="Y8" s="22"/>
      <c r="Z8" s="23" t="s">
        <v>18</v>
      </c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4" t="s">
        <v>19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5" t="b">
        <f>OR(AND(Z8=Service1!$C$46,AW8=Service1!$C$56),AND(AW8&lt;&gt;"0",Z8&lt;&gt;Service1!$C$46))</f>
      </c>
      <c r="BU8" s="26" t="b">
        <f>OR(AND(CB8=Service1!$C$46,CY8=Service1!$C$56),AND(CY8&gt;"0",CB8&lt;&gt;Service1!$C$46))</f>
      </c>
      <c r="BV8" s="22" t="s">
        <v>20</v>
      </c>
      <c r="BW8" s="22"/>
      <c r="BX8" s="22"/>
      <c r="BY8" s="22"/>
      <c r="BZ8" s="22"/>
      <c r="CA8" s="22"/>
      <c r="CB8" s="24" t="s">
        <v>21</v>
      </c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 t="s">
        <v>19</v>
      </c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7"/>
      <c r="DW8" s="28"/>
      <c r="DX8" s="27"/>
      <c r="DY8" s="27"/>
      <c r="DZ8" s="29"/>
      <c r="EA8" s="29"/>
      <c r="EB8" s="29"/>
      <c r="EC8" s="29"/>
      <c r="ED8" s="29"/>
      <c r="EE8" s="30"/>
      <c r="EF8" s="30"/>
      <c r="EG8" s="30"/>
    </row>
    <row r="9" spans="1:159" customHeight="1" ht="24.75">
      <c r="B9" s="3"/>
      <c r="C9" s="21" t="s">
        <v>22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2" t="s">
        <v>23</v>
      </c>
      <c r="U9" s="22"/>
      <c r="V9" s="22"/>
      <c r="W9" s="22"/>
      <c r="X9" s="22"/>
      <c r="Y9" s="22"/>
      <c r="Z9" s="23" t="s">
        <v>24</v>
      </c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4" t="s">
        <v>19</v>
      </c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5" t="b">
        <f>OR(AND(Z9=Service1!$C$46,AW9=Service1!$C$56),AND(AW9&lt;&gt;"0",Z9&lt;&gt;Service1!$C$46))</f>
      </c>
      <c r="BU9" s="26" t="b">
        <f>OR(AND(CB9=Service1!$C$46,CY9=Service1!$C$56),AND(CY9&gt;"0",CB9&lt;&gt;Service1!$C$46))</f>
      </c>
      <c r="BV9" s="22" t="s">
        <v>25</v>
      </c>
      <c r="BW9" s="22"/>
      <c r="BX9" s="22"/>
      <c r="BY9" s="22"/>
      <c r="BZ9" s="22"/>
      <c r="CA9" s="22"/>
      <c r="CB9" s="24" t="s">
        <v>26</v>
      </c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 t="s">
        <v>19</v>
      </c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7"/>
      <c r="DW9" s="28"/>
      <c r="DX9" s="27"/>
      <c r="DY9" s="27"/>
      <c r="DZ9" s="29"/>
      <c r="EA9" s="29"/>
      <c r="EB9" s="29"/>
      <c r="EC9" s="29"/>
      <c r="ED9" s="29"/>
      <c r="EE9" s="30"/>
      <c r="EF9" s="30"/>
      <c r="EG9" s="30"/>
    </row>
    <row r="10" spans="1:159" customHeight="1" ht="24.75">
      <c r="B10" s="3"/>
      <c r="C10" s="21" t="s">
        <v>27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2" t="s">
        <v>25</v>
      </c>
      <c r="U10" s="22"/>
      <c r="V10" s="22"/>
      <c r="W10" s="22"/>
      <c r="X10" s="22"/>
      <c r="Y10" s="22"/>
      <c r="Z10" s="23" t="s">
        <v>18</v>
      </c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4" t="s">
        <v>19</v>
      </c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5" t="b">
        <f>OR(AND(Z10=Service1!$C$46,AW10=Service1!$C$56),AND(AW10&lt;&gt;"0",Z10&lt;&gt;Service1!$C$46))</f>
      </c>
      <c r="BU10" s="26" t="b">
        <f>OR(AND(CB10=Service1!$C$46,CY10=Service1!$C$56),AND(CY10&gt;"0",CB10&lt;&gt;Service1!$C$46))</f>
      </c>
      <c r="BV10" s="22" t="s">
        <v>28</v>
      </c>
      <c r="BW10" s="22"/>
      <c r="BX10" s="22"/>
      <c r="BY10" s="22"/>
      <c r="BZ10" s="22"/>
      <c r="CA10" s="22"/>
      <c r="CB10" s="24" t="s">
        <v>26</v>
      </c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 t="s">
        <v>19</v>
      </c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7"/>
      <c r="DW10" s="28"/>
      <c r="DX10" s="27"/>
      <c r="DY10" s="27"/>
      <c r="DZ10" s="29"/>
      <c r="EA10" s="29"/>
      <c r="EB10" s="29"/>
      <c r="EC10" s="29"/>
      <c r="ED10" s="29"/>
      <c r="EE10" s="30"/>
      <c r="EF10" s="30"/>
      <c r="EG10" s="30"/>
    </row>
    <row r="11" spans="1:159" customHeight="1" ht="24.75">
      <c r="B11" s="3"/>
      <c r="C11" s="21" t="s">
        <v>29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2" t="s">
        <v>25</v>
      </c>
      <c r="U11" s="22"/>
      <c r="V11" s="22"/>
      <c r="W11" s="22"/>
      <c r="X11" s="22"/>
      <c r="Y11" s="22"/>
      <c r="Z11" s="23" t="s">
        <v>30</v>
      </c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4" t="s">
        <v>19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5" t="b">
        <f>OR(AND(Z11=Service1!$C$46,AW11=Service1!$C$56),AND(AW11&lt;&gt;"0",Z11&lt;&gt;Service1!$C$46))</f>
      </c>
      <c r="BU11" s="26" t="b">
        <f>OR(AND(CB11=Service1!$C$46,CY11=Service1!$C$56),AND(CY11&gt;"0",CB11&lt;&gt;Service1!$C$46))</f>
      </c>
      <c r="BV11" s="22" t="s">
        <v>28</v>
      </c>
      <c r="BW11" s="22"/>
      <c r="BX11" s="22"/>
      <c r="BY11" s="22"/>
      <c r="BZ11" s="22"/>
      <c r="CA11" s="22"/>
      <c r="CB11" s="24" t="s">
        <v>21</v>
      </c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 t="s">
        <v>19</v>
      </c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7"/>
      <c r="DW11" s="28"/>
      <c r="DX11" s="27"/>
      <c r="DY11" s="27"/>
      <c r="DZ11" s="29"/>
      <c r="EA11" s="29"/>
      <c r="EB11" s="29"/>
      <c r="EC11" s="29"/>
      <c r="ED11" s="29"/>
      <c r="EE11" s="30"/>
      <c r="EF11" s="30"/>
      <c r="EG11" s="30"/>
    </row>
    <row r="12" spans="1:159" customHeight="1" ht="24.75">
      <c r="B12" s="3"/>
      <c r="C12" s="21" t="s">
        <v>31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2" t="s">
        <v>32</v>
      </c>
      <c r="U12" s="22"/>
      <c r="V12" s="22"/>
      <c r="W12" s="22"/>
      <c r="X12" s="22"/>
      <c r="Y12" s="22"/>
      <c r="Z12" s="23" t="s">
        <v>18</v>
      </c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4" t="s">
        <v>19</v>
      </c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5" t="b">
        <f>OR(AND(Z12=Service1!$C$46,AW12=Service1!$C$56),AND(AW12&lt;&gt;"0",Z12&lt;&gt;Service1!$C$46))</f>
      </c>
      <c r="BU12" s="26" t="b">
        <f>OR(AND(CB12=Service1!$C$46,CY12=Service1!$C$56),AND(CY12&gt;"0",CB12&lt;&gt;Service1!$C$46))</f>
      </c>
      <c r="BV12" s="22" t="s">
        <v>33</v>
      </c>
      <c r="BW12" s="22"/>
      <c r="BX12" s="22"/>
      <c r="BY12" s="22"/>
      <c r="BZ12" s="22"/>
      <c r="CA12" s="22"/>
      <c r="CB12" s="24" t="s">
        <v>26</v>
      </c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 t="s">
        <v>19</v>
      </c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7"/>
      <c r="DW12" s="28"/>
      <c r="DX12" s="27"/>
      <c r="DY12" s="27"/>
      <c r="DZ12" s="29"/>
      <c r="EA12" s="29"/>
      <c r="EB12" s="29"/>
      <c r="EC12" s="29"/>
      <c r="ED12" s="29"/>
      <c r="EE12" s="30"/>
      <c r="EF12" s="30"/>
      <c r="EG12" s="30"/>
    </row>
    <row r="13" spans="1:159" customHeight="1" ht="24.75">
      <c r="B13" s="3"/>
      <c r="C13" s="21" t="s">
        <v>34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2" t="s">
        <v>35</v>
      </c>
      <c r="U13" s="22"/>
      <c r="V13" s="22"/>
      <c r="W13" s="22"/>
      <c r="X13" s="22"/>
      <c r="Y13" s="22"/>
      <c r="Z13" s="23" t="s">
        <v>30</v>
      </c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4" t="s">
        <v>19</v>
      </c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5" t="b">
        <f>OR(AND(Z13=Service1!$C$46,AW13=Service1!$C$56),AND(AW13&lt;&gt;"0",Z13&lt;&gt;Service1!$C$46))</f>
      </c>
      <c r="BU13" s="26" t="b">
        <f>OR(AND(CB13=Service1!$C$46,CY13=Service1!$C$56),AND(CY13&gt;"0",CB13&lt;&gt;Service1!$C$46))</f>
      </c>
      <c r="BV13" s="22" t="s">
        <v>36</v>
      </c>
      <c r="BW13" s="22"/>
      <c r="BX13" s="22"/>
      <c r="BY13" s="22"/>
      <c r="BZ13" s="22"/>
      <c r="CA13" s="22"/>
      <c r="CB13" s="24" t="s">
        <v>21</v>
      </c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 t="s">
        <v>19</v>
      </c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7"/>
      <c r="DW13" s="28"/>
      <c r="DX13" s="27"/>
      <c r="DY13" s="27"/>
      <c r="DZ13" s="29"/>
      <c r="EA13" s="29"/>
      <c r="EB13" s="29"/>
      <c r="EC13" s="29"/>
      <c r="ED13" s="29"/>
      <c r="EE13" s="30"/>
      <c r="EF13" s="30"/>
      <c r="EG13" s="30"/>
    </row>
    <row r="14" spans="1:159" customHeight="1" ht="24.75">
      <c r="B14" s="3"/>
      <c r="C14" s="21" t="s">
        <v>37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2" t="s">
        <v>23</v>
      </c>
      <c r="U14" s="22"/>
      <c r="V14" s="22"/>
      <c r="W14" s="22"/>
      <c r="X14" s="22"/>
      <c r="Y14" s="22"/>
      <c r="Z14" s="23" t="s">
        <v>24</v>
      </c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4" t="s">
        <v>19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5" t="b">
        <f>OR(AND(Z14=Service1!$C$46,AW14=Service1!$C$56),AND(AW14&lt;&gt;"0",Z14&lt;&gt;Service1!$C$46))</f>
      </c>
      <c r="BU14" s="31">
        <v>1</v>
      </c>
      <c r="BV14" s="22" t="s">
        <v>38</v>
      </c>
      <c r="BW14" s="22"/>
      <c r="BX14" s="22"/>
      <c r="BY14" s="22"/>
      <c r="BZ14" s="22"/>
      <c r="CA14" s="22"/>
      <c r="CB14" s="24" t="s">
        <v>26</v>
      </c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 t="s">
        <v>19</v>
      </c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7"/>
      <c r="DW14" s="28"/>
      <c r="DX14" s="27"/>
      <c r="DY14" s="27"/>
      <c r="DZ14" s="29"/>
      <c r="EA14" s="29"/>
      <c r="EB14" s="29"/>
      <c r="EC14" s="29"/>
      <c r="ED14" s="29"/>
      <c r="EE14" s="30"/>
      <c r="EF14" s="30"/>
      <c r="EG14" s="30"/>
    </row>
    <row r="15" spans="1:159" customHeight="1" ht="24.75">
      <c r="B15" s="3"/>
      <c r="C15" s="21" t="s">
        <v>39</v>
      </c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2" t="s">
        <v>38</v>
      </c>
      <c r="U15" s="22"/>
      <c r="V15" s="22"/>
      <c r="W15" s="22"/>
      <c r="X15" s="22"/>
      <c r="Y15" s="22"/>
      <c r="Z15" s="23" t="s">
        <v>30</v>
      </c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4" t="s">
        <v>19</v>
      </c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5" t="b">
        <f>OR(AND(Z15=Service1!$C$46,AW15=Service1!$C$56),AND(AW15&lt;&gt;"0",Z15&lt;&gt;Service1!$C$46))</f>
      </c>
      <c r="BU15" s="26" t="b">
        <f>OR(AND(CB15=Service1!$C$46,CY15=Service1!$C$56),AND(CY15&gt;"0",CB15&lt;&gt;Service1!$C$46))</f>
      </c>
      <c r="BV15" s="22" t="s">
        <v>33</v>
      </c>
      <c r="BW15" s="22"/>
      <c r="BX15" s="22"/>
      <c r="BY15" s="22"/>
      <c r="BZ15" s="22"/>
      <c r="CA15" s="22"/>
      <c r="CB15" s="24" t="s">
        <v>21</v>
      </c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 t="s">
        <v>19</v>
      </c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  <c r="DT15" s="24"/>
      <c r="DU15" s="24"/>
      <c r="DV15" s="27"/>
      <c r="DW15" s="28"/>
      <c r="DX15" s="27"/>
      <c r="DY15" s="27"/>
      <c r="DZ15" s="29"/>
      <c r="EA15" s="29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</row>
    <row r="16" spans="1:159" customHeight="1" ht="24.75">
      <c r="B16" s="3"/>
      <c r="C16" s="21" t="s">
        <v>40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2" t="s">
        <v>25</v>
      </c>
      <c r="U16" s="22"/>
      <c r="V16" s="22"/>
      <c r="W16" s="22"/>
      <c r="X16" s="22"/>
      <c r="Y16" s="22"/>
      <c r="Z16" s="23" t="s">
        <v>18</v>
      </c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4" t="s">
        <v>19</v>
      </c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5" t="b">
        <f>OR(AND(Z16=Service1!$C$46,AW16=Service1!$C$56),AND(AW16&lt;&gt;"0",Z16&lt;&gt;Service1!$C$46))</f>
      </c>
      <c r="BU16" s="26" t="b">
        <f>OR(AND(CB16=Service1!$C$46,CY16=Service1!$C$56),AND(CY16&gt;"0",CB16&lt;&gt;Service1!$C$46))</f>
      </c>
      <c r="BV16" s="22" t="s">
        <v>33</v>
      </c>
      <c r="BW16" s="22"/>
      <c r="BX16" s="22"/>
      <c r="BY16" s="22"/>
      <c r="BZ16" s="22"/>
      <c r="CA16" s="22"/>
      <c r="CB16" s="24" t="s">
        <v>41</v>
      </c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 t="s">
        <v>19</v>
      </c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  <c r="DT16" s="24"/>
      <c r="DU16" s="24"/>
      <c r="DV16" s="27"/>
      <c r="DW16" s="28"/>
      <c r="DX16" s="27"/>
      <c r="DY16" s="27"/>
      <c r="DZ16" s="29"/>
      <c r="EA16" s="29"/>
      <c r="EB16" s="29"/>
      <c r="EC16" s="29"/>
      <c r="ED16" s="29"/>
      <c r="EE16" s="30"/>
      <c r="EF16" s="30"/>
      <c r="EG16" s="30"/>
    </row>
    <row r="17" spans="1:159" customHeight="1" ht="24.75">
      <c r="B17" s="3"/>
      <c r="C17" s="21" t="s">
        <v>42</v>
      </c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2" t="s">
        <v>43</v>
      </c>
      <c r="U17" s="22"/>
      <c r="V17" s="22"/>
      <c r="W17" s="22"/>
      <c r="X17" s="22"/>
      <c r="Y17" s="22"/>
      <c r="Z17" s="23" t="s">
        <v>18</v>
      </c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4" t="s">
        <v>19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5" t="b">
        <f>OR(AND(Z17=Service1!$C$46,AW17=Service1!$C$56),AND(AW17&lt;&gt;"0",Z17&lt;&gt;Service1!$C$46))</f>
      </c>
      <c r="BU17" s="26" t="b">
        <f>OR(AND(CB17=Service1!$C$46,CY17=Service1!$C$56),AND(CY17&gt;"0",CB17&lt;&gt;Service1!$C$46))</f>
      </c>
      <c r="BV17" s="22" t="s">
        <v>44</v>
      </c>
      <c r="BW17" s="22"/>
      <c r="BX17" s="22"/>
      <c r="BY17" s="22"/>
      <c r="BZ17" s="22"/>
      <c r="CA17" s="22"/>
      <c r="CB17" s="24" t="s">
        <v>21</v>
      </c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4" t="s">
        <v>19</v>
      </c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  <c r="DT17" s="24"/>
      <c r="DU17" s="24"/>
      <c r="DV17" s="27"/>
      <c r="DW17" s="28"/>
      <c r="DX17" s="27"/>
      <c r="DY17" s="27"/>
      <c r="DZ17" s="29"/>
      <c r="EA17" s="29"/>
      <c r="EB17" s="29"/>
      <c r="EC17" s="29"/>
      <c r="ED17" s="29"/>
      <c r="EE17" s="30"/>
      <c r="EF17" s="30"/>
      <c r="EG17" s="30"/>
    </row>
    <row r="18" spans="1:159" customHeight="1" ht="24.75">
      <c r="B18" s="3"/>
      <c r="C18" s="21" t="s">
        <v>45</v>
      </c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2" t="s">
        <v>38</v>
      </c>
      <c r="U18" s="22"/>
      <c r="V18" s="22"/>
      <c r="W18" s="22"/>
      <c r="X18" s="22"/>
      <c r="Y18" s="22"/>
      <c r="Z18" s="23" t="s">
        <v>18</v>
      </c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4" t="s">
        <v>19</v>
      </c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5" t="b">
        <f>OR(AND(Z18=Service1!$C$46,AW18=Service1!$C$56),AND(AW18&lt;&gt;"0",Z18&lt;&gt;Service1!$C$46))</f>
      </c>
      <c r="BU18" s="26" t="b">
        <f>OR(AND(CB18=Service1!$C$46,CY18=Service1!$C$56),AND(CY18&gt;"0",CB18&lt;&gt;Service1!$C$46))</f>
      </c>
      <c r="BV18" s="22" t="s">
        <v>20</v>
      </c>
      <c r="BW18" s="22"/>
      <c r="BX18" s="22"/>
      <c r="BY18" s="22"/>
      <c r="BZ18" s="22"/>
      <c r="CA18" s="22"/>
      <c r="CB18" s="24" t="s">
        <v>21</v>
      </c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 t="s">
        <v>19</v>
      </c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  <c r="DT18" s="24"/>
      <c r="DU18" s="24"/>
      <c r="DV18" s="27"/>
      <c r="DW18" s="28"/>
      <c r="DX18" s="27"/>
      <c r="DY18" s="27"/>
      <c r="DZ18" s="29"/>
      <c r="EA18" s="29"/>
      <c r="EB18" s="29"/>
      <c r="EC18" s="29"/>
      <c r="ED18" s="29"/>
      <c r="EE18" s="30"/>
      <c r="EF18" s="30"/>
      <c r="EG18" s="30"/>
    </row>
    <row r="19" spans="1:159" customHeight="1" ht="24.75">
      <c r="B19" s="3"/>
      <c r="C19" s="21" t="s">
        <v>46</v>
      </c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2" t="s">
        <v>47</v>
      </c>
      <c r="U19" s="22"/>
      <c r="V19" s="22"/>
      <c r="W19" s="22"/>
      <c r="X19" s="22"/>
      <c r="Y19" s="22"/>
      <c r="Z19" s="24" t="s">
        <v>48</v>
      </c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 t="s">
        <v>19</v>
      </c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5" t="b">
        <f>OR(AND(Z19=Service1!$C$46,AW19=Service1!$C$56),AND(AW19&lt;&gt;"0",Z19&lt;&gt;Service1!$C$46))</f>
      </c>
      <c r="BU19" s="26" t="b">
        <f>OR(AND(CB19=Service1!$C$46,CY19=Service1!$C$56),AND(CY19&gt;"0",CB19&lt;&gt;Service1!$C$46))</f>
      </c>
      <c r="BV19" s="22" t="s">
        <v>49</v>
      </c>
      <c r="BW19" s="22"/>
      <c r="BX19" s="22"/>
      <c r="BY19" s="22"/>
      <c r="BZ19" s="22"/>
      <c r="CA19" s="22"/>
      <c r="CB19" s="24" t="s">
        <v>41</v>
      </c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 t="s">
        <v>19</v>
      </c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  <c r="DT19" s="24"/>
      <c r="DU19" s="24"/>
      <c r="DV19" s="27"/>
      <c r="DW19" s="28"/>
      <c r="DX19" s="27"/>
      <c r="DY19" s="27"/>
      <c r="DZ19" s="29"/>
      <c r="EA19" s="29"/>
      <c r="EB19" s="29"/>
      <c r="EC19" s="29"/>
      <c r="ED19" s="29"/>
      <c r="EE19" s="30"/>
      <c r="EF19" s="30"/>
      <c r="EG19" s="30"/>
    </row>
    <row r="20" spans="1:159" customHeight="1" ht="24.75">
      <c r="B20" s="3"/>
      <c r="C20" s="21" t="s">
        <v>50</v>
      </c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2" t="s">
        <v>51</v>
      </c>
      <c r="U20" s="22"/>
      <c r="V20" s="22"/>
      <c r="W20" s="22"/>
      <c r="X20" s="22"/>
      <c r="Y20" s="22"/>
      <c r="Z20" s="24" t="s">
        <v>18</v>
      </c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 t="s">
        <v>19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5" t="b">
        <f>OR(AND(Z20=Service1!$C$46,AW20=Service1!$C$56),AND(AW20&lt;&gt;"0",Z20&lt;&gt;Service1!$C$46))</f>
      </c>
      <c r="BU20" s="26" t="b">
        <f>OR(AND(CB20=Service1!$C$46,CY20=Service1!$C$56),AND(CY20&gt;"0",CB20&lt;&gt;Service1!$C$46))</f>
      </c>
      <c r="BV20" s="22" t="s">
        <v>44</v>
      </c>
      <c r="BW20" s="22"/>
      <c r="BX20" s="22"/>
      <c r="BY20" s="22"/>
      <c r="BZ20" s="22"/>
      <c r="CA20" s="22"/>
      <c r="CB20" s="24" t="s">
        <v>41</v>
      </c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 t="s">
        <v>19</v>
      </c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  <c r="DT20" s="24"/>
      <c r="DU20" s="24"/>
      <c r="DV20" s="27"/>
      <c r="DW20" s="28"/>
      <c r="DX20" s="27"/>
      <c r="DY20" s="27"/>
      <c r="DZ20" s="29"/>
      <c r="EA20" s="29"/>
      <c r="EB20" s="29"/>
      <c r="EC20" s="29"/>
      <c r="ED20" s="29"/>
      <c r="EE20" s="30"/>
      <c r="EF20" s="30"/>
      <c r="EG20" s="30"/>
    </row>
    <row r="21" spans="1:159" customHeight="1" ht="24.75">
      <c r="B21" s="3"/>
      <c r="C21" s="21" t="s">
        <v>52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2" t="s">
        <v>43</v>
      </c>
      <c r="U21" s="22"/>
      <c r="V21" s="22"/>
      <c r="W21" s="22"/>
      <c r="X21" s="22"/>
      <c r="Y21" s="22"/>
      <c r="Z21" s="24" t="s">
        <v>18</v>
      </c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 t="s">
        <v>19</v>
      </c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5" t="b">
        <f>OR(AND(Z21=Service1!$C$46,AW21=Service1!$C$56),AND(AW21&lt;&gt;"0",Z21&lt;&gt;Service1!$C$46))</f>
      </c>
      <c r="BU21" s="26" t="b">
        <f>OR(AND(CB21=Service1!$C$46,CY21=Service1!$C$56),AND(CY21&gt;"0",CB21&lt;&gt;Service1!$C$46))</f>
      </c>
      <c r="BV21" s="22" t="s">
        <v>44</v>
      </c>
      <c r="BW21" s="22"/>
      <c r="BX21" s="22"/>
      <c r="BY21" s="22"/>
      <c r="BZ21" s="22"/>
      <c r="CA21" s="22"/>
      <c r="CB21" s="24" t="s">
        <v>41</v>
      </c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 t="s">
        <v>19</v>
      </c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  <c r="DT21" s="24"/>
      <c r="DU21" s="24"/>
      <c r="DV21" s="27"/>
      <c r="DW21" s="28"/>
      <c r="DX21" s="27"/>
      <c r="DY21" s="27"/>
      <c r="DZ21" s="29"/>
      <c r="EA21" s="29"/>
      <c r="EB21" s="29"/>
      <c r="EC21" s="29"/>
      <c r="ED21" s="29"/>
      <c r="EE21" s="30"/>
      <c r="EF21" s="30"/>
      <c r="EG21" s="30"/>
    </row>
    <row r="22" spans="1:159" customHeight="1" ht="24.75">
      <c r="B22" s="3"/>
      <c r="C22" s="21" t="s">
        <v>53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2" t="s">
        <v>43</v>
      </c>
      <c r="U22" s="22"/>
      <c r="V22" s="22"/>
      <c r="W22" s="22"/>
      <c r="X22" s="22"/>
      <c r="Y22" s="22"/>
      <c r="Z22" s="24" t="s">
        <v>24</v>
      </c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 t="s">
        <v>19</v>
      </c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5" t="b">
        <f>OR(AND(Z22=Service1!$C$46,AW22=Service1!$C$56),AND(AW22&lt;&gt;"0",Z22&lt;&gt;Service1!$C$46))</f>
      </c>
      <c r="BU22" s="26" t="b">
        <f>OR(AND(CB22=Service1!$C$46,CY22=Service1!$C$56),AND(CY22&gt;"0",CB22&lt;&gt;Service1!$C$46))</f>
      </c>
      <c r="BV22" s="22" t="s">
        <v>20</v>
      </c>
      <c r="BW22" s="22"/>
      <c r="BX22" s="22"/>
      <c r="BY22" s="22"/>
      <c r="BZ22" s="22"/>
      <c r="CA22" s="22"/>
      <c r="CB22" s="24" t="s">
        <v>41</v>
      </c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 t="s">
        <v>19</v>
      </c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7"/>
      <c r="DW22" s="28"/>
      <c r="DX22" s="27"/>
      <c r="DY22" s="27"/>
      <c r="DZ22" s="29"/>
      <c r="EA22" s="29"/>
      <c r="EB22" s="29"/>
      <c r="EC22" s="29"/>
      <c r="ED22" s="29"/>
      <c r="EE22" s="30"/>
      <c r="EF22" s="30"/>
      <c r="EG22" s="30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5"/>
      <c r="BU24" s="35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54</v>
      </c>
      <c r="D25" s="6"/>
      <c r="E25" s="6"/>
      <c r="F25" s="6"/>
      <c r="G25" s="6"/>
      <c r="H25" s="6"/>
      <c r="I25" s="6"/>
      <c r="J25" s="6"/>
      <c r="K25" s="6"/>
      <c r="L25" s="7" t="s">
        <v>55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10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36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37"/>
      <c r="BU26" s="37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2" t="s">
        <v>3</v>
      </c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4"/>
      <c r="BU27" s="4"/>
      <c r="BV27" s="12" t="s">
        <v>4</v>
      </c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2" t="s">
        <v>7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2" t="s">
        <v>7</v>
      </c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W28" s="5"/>
    </row>
    <row r="29" spans="1:159" customHeight="1" ht="24.75">
      <c r="C29" s="13" t="e">
        <f>Service1!C6</f>
        <v>#REF!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14" t="s">
        <v>11</v>
      </c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5" t="s">
        <v>56</v>
      </c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6">
        <v>754</v>
      </c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7"/>
      <c r="BU29" s="17"/>
      <c r="BV29" s="14" t="s">
        <v>11</v>
      </c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5" t="s">
        <v>56</v>
      </c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6">
        <v>750</v>
      </c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W29" s="5"/>
    </row>
    <row r="30" spans="1:159" customHeight="1" ht="15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P30" s="19"/>
      <c r="Q30" s="19"/>
      <c r="R30" s="19"/>
      <c r="S30" s="19"/>
      <c r="T30" s="12" t="s">
        <v>13</v>
      </c>
      <c r="U30" s="12"/>
      <c r="V30" s="12"/>
      <c r="W30" s="12"/>
      <c r="X30" s="12"/>
      <c r="Y30" s="12"/>
      <c r="Z30" s="12" t="s">
        <v>41</v>
      </c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 t="s">
        <v>19</v>
      </c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20"/>
      <c r="BV30" s="12" t="s">
        <v>13</v>
      </c>
      <c r="BW30" s="12"/>
      <c r="BX30" s="12"/>
      <c r="BY30" s="12"/>
      <c r="BZ30" s="12"/>
      <c r="CA30" s="12"/>
      <c r="CB30" s="12" t="s">
        <v>14</v>
      </c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 t="s">
        <v>15</v>
      </c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W30" s="5"/>
    </row>
    <row r="31" spans="1:159" customHeight="1" ht="25.35">
      <c r="C31" s="21" t="s">
        <v>16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2" t="s">
        <v>17</v>
      </c>
      <c r="U31" s="22"/>
      <c r="V31" s="22"/>
      <c r="W31" s="22"/>
      <c r="X31" s="22"/>
      <c r="Y31" s="22"/>
      <c r="Z31" s="24" t="s">
        <v>18</v>
      </c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 t="s">
        <v>19</v>
      </c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5" t="b">
        <f>OR(AND(Z31=Service1!$C$46,AW31=Service1!$C$56),AND(AW31&gt;"0",Z31&lt;&gt;Service1!$C$46))</f>
      </c>
      <c r="BU31" s="38" t="b">
        <f>OR(AND(CB31=Service1!$C$46,CY31=Service1!$C$56),AND(CY31&gt;"0",CB31&lt;&gt;Service1!$C$46))</f>
      </c>
      <c r="BV31" s="22" t="s">
        <v>20</v>
      </c>
      <c r="BW31" s="22"/>
      <c r="BX31" s="22"/>
      <c r="BY31" s="22"/>
      <c r="BZ31" s="22"/>
      <c r="CA31" s="22"/>
      <c r="CB31" s="24" t="s">
        <v>57</v>
      </c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 t="s">
        <v>19</v>
      </c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4"/>
      <c r="DO31" s="24"/>
      <c r="DP31" s="24"/>
      <c r="DQ31" s="24"/>
      <c r="DR31" s="24"/>
      <c r="DS31" s="24"/>
      <c r="DT31" s="24"/>
      <c r="DU31" s="24"/>
      <c r="DW31" s="5"/>
    </row>
    <row r="32" spans="1:159" customHeight="1" ht="25.35">
      <c r="C32" s="21" t="s">
        <v>22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2" t="s">
        <v>23</v>
      </c>
      <c r="U32" s="22"/>
      <c r="V32" s="22"/>
      <c r="W32" s="22"/>
      <c r="X32" s="22"/>
      <c r="Y32" s="22"/>
      <c r="Z32" s="24" t="s">
        <v>24</v>
      </c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 t="s">
        <v>19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5" t="b">
        <f>OR(AND(Z32=Service1!$C$46,AW32=Service1!$C$56),AND(AW32&gt;"0",Z32&lt;&gt;Service1!$C$46))</f>
      </c>
      <c r="BU32" s="38" t="b">
        <f>OR(AND(CB32=Service1!$C$46,CY32=Service1!$C$56),AND(CY32&gt;"0",CB32&lt;&gt;Service1!$C$46))</f>
      </c>
      <c r="BV32" s="22" t="s">
        <v>25</v>
      </c>
      <c r="BW32" s="22"/>
      <c r="BX32" s="22"/>
      <c r="BY32" s="22"/>
      <c r="BZ32" s="22"/>
      <c r="CA32" s="22"/>
      <c r="CB32" s="24" t="s">
        <v>21</v>
      </c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4"/>
      <c r="CW32" s="24"/>
      <c r="CX32" s="24"/>
      <c r="CY32" s="24" t="s">
        <v>19</v>
      </c>
      <c r="CZ32" s="24"/>
      <c r="DA32" s="24"/>
      <c r="DB32" s="24"/>
      <c r="DC32" s="24"/>
      <c r="DD32" s="24"/>
      <c r="DE32" s="24"/>
      <c r="DF32" s="24"/>
      <c r="DG32" s="24"/>
      <c r="DH32" s="24"/>
      <c r="DI32" s="24"/>
      <c r="DJ32" s="24"/>
      <c r="DK32" s="24"/>
      <c r="DL32" s="24"/>
      <c r="DM32" s="24"/>
      <c r="DN32" s="24"/>
      <c r="DO32" s="24"/>
      <c r="DP32" s="24"/>
      <c r="DQ32" s="24"/>
      <c r="DR32" s="24"/>
      <c r="DS32" s="24"/>
      <c r="DT32" s="24"/>
      <c r="DU32" s="24"/>
      <c r="DW32" s="5"/>
    </row>
    <row r="33" spans="1:159" customHeight="1" ht="24.75">
      <c r="C33" s="21" t="s">
        <v>27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2" t="s">
        <v>25</v>
      </c>
      <c r="U33" s="22"/>
      <c r="V33" s="22"/>
      <c r="W33" s="22"/>
      <c r="X33" s="22"/>
      <c r="Y33" s="22"/>
      <c r="Z33" s="24" t="s">
        <v>18</v>
      </c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 t="s">
        <v>19</v>
      </c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5" t="b">
        <f>OR(AND(Z33=Service1!$C$46,AW33=Service1!$C$56),AND(AW33&gt;"0",Z33&lt;&gt;Service1!$C$46))</f>
      </c>
      <c r="BU33" s="38" t="b">
        <f>OR(AND(CB33=Service1!$C$46,CY33=Service1!$C$56),AND(CY33&gt;"0",CB33&lt;&gt;Service1!$C$46))</f>
      </c>
      <c r="BV33" s="22" t="s">
        <v>28</v>
      </c>
      <c r="BW33" s="22"/>
      <c r="BX33" s="22"/>
      <c r="BY33" s="22"/>
      <c r="BZ33" s="22"/>
      <c r="CA33" s="22"/>
      <c r="CB33" s="24" t="s">
        <v>21</v>
      </c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 t="s">
        <v>19</v>
      </c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  <c r="DQ33" s="24"/>
      <c r="DR33" s="24"/>
      <c r="DS33" s="24"/>
      <c r="DT33" s="24"/>
      <c r="DU33" s="24"/>
      <c r="DW33" s="5"/>
    </row>
    <row r="34" spans="1:159" customHeight="1" ht="24.75">
      <c r="C34" s="21" t="s">
        <v>29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2" t="s">
        <v>25</v>
      </c>
      <c r="U34" s="22"/>
      <c r="V34" s="22"/>
      <c r="W34" s="22"/>
      <c r="X34" s="22"/>
      <c r="Y34" s="22"/>
      <c r="Z34" s="24" t="s">
        <v>30</v>
      </c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 t="s">
        <v>19</v>
      </c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5" t="b">
        <f>OR(AND(Z34=Service1!$C$46,AW34=Service1!$C$56),AND(AW34&gt;"0",Z34&lt;&gt;Service1!$C$46))</f>
      </c>
      <c r="BU34" s="38" t="b">
        <f>OR(AND(CB34=Service1!$C$46,CY34=Service1!$C$56),AND(CY34&gt;"0",CB34&lt;&gt;Service1!$C$46))</f>
      </c>
      <c r="BV34" s="22" t="s">
        <v>28</v>
      </c>
      <c r="BW34" s="22"/>
      <c r="BX34" s="22"/>
      <c r="BY34" s="22"/>
      <c r="BZ34" s="22"/>
      <c r="CA34" s="22"/>
      <c r="CB34" s="24" t="s">
        <v>57</v>
      </c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 t="s">
        <v>19</v>
      </c>
      <c r="CZ34" s="24"/>
      <c r="DA34" s="24"/>
      <c r="DB34" s="24"/>
      <c r="DC34" s="24"/>
      <c r="DD34" s="24"/>
      <c r="DE34" s="24"/>
      <c r="DF34" s="24"/>
      <c r="DG34" s="24"/>
      <c r="DH34" s="24"/>
      <c r="DI34" s="24"/>
      <c r="DJ34" s="24"/>
      <c r="DK34" s="24"/>
      <c r="DL34" s="24"/>
      <c r="DM34" s="24"/>
      <c r="DN34" s="24"/>
      <c r="DO34" s="24"/>
      <c r="DP34" s="24"/>
      <c r="DQ34" s="24"/>
      <c r="DR34" s="24"/>
      <c r="DS34" s="24"/>
      <c r="DT34" s="24"/>
      <c r="DU34" s="24"/>
      <c r="DW34" s="5"/>
    </row>
    <row r="35" spans="1:159" customHeight="1" ht="24.75">
      <c r="C35" s="21" t="s">
        <v>31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2" t="s">
        <v>32</v>
      </c>
      <c r="U35" s="22"/>
      <c r="V35" s="22"/>
      <c r="W35" s="22"/>
      <c r="X35" s="22"/>
      <c r="Y35" s="22"/>
      <c r="Z35" s="24" t="s">
        <v>18</v>
      </c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 t="s">
        <v>19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5" t="b">
        <f>OR(AND(Z35=Service1!$C$46,AW35=Service1!$C$56),AND(AW35&gt;"0",Z35&lt;&gt;Service1!$C$46))</f>
      </c>
      <c r="BU35" s="38" t="b">
        <f>OR(AND(CB35=Service1!$C$46,CY35=Service1!$C$56),AND(CY35&gt;"0",CB35&lt;&gt;Service1!$C$46))</f>
      </c>
      <c r="BV35" s="22" t="s">
        <v>33</v>
      </c>
      <c r="BW35" s="22"/>
      <c r="BX35" s="22"/>
      <c r="BY35" s="22"/>
      <c r="BZ35" s="22"/>
      <c r="CA35" s="22"/>
      <c r="CB35" s="24" t="s">
        <v>21</v>
      </c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 t="s">
        <v>19</v>
      </c>
      <c r="CZ35" s="24"/>
      <c r="DA35" s="24"/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W35" s="5"/>
    </row>
    <row r="36" spans="1:159" customHeight="1" ht="24.75">
      <c r="C36" s="21" t="s">
        <v>34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2" t="s">
        <v>35</v>
      </c>
      <c r="U36" s="22"/>
      <c r="V36" s="22"/>
      <c r="W36" s="22"/>
      <c r="X36" s="22"/>
      <c r="Y36" s="22"/>
      <c r="Z36" s="24" t="s">
        <v>30</v>
      </c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 t="s">
        <v>19</v>
      </c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5" t="b">
        <f>OR(AND(Z36=Service1!$C$46,AW36=Service1!$C$56),AND(AW36&gt;"0",Z36&lt;&gt;Service1!$C$46))</f>
      </c>
      <c r="BU36" s="38" t="b">
        <f>OR(AND(CB36=Service1!$C$46,CY36=Service1!$C$56),AND(CY36&gt;"0",CB36&lt;&gt;Service1!$C$46))</f>
      </c>
      <c r="BV36" s="22" t="s">
        <v>36</v>
      </c>
      <c r="BW36" s="22"/>
      <c r="BX36" s="22"/>
      <c r="BY36" s="22"/>
      <c r="BZ36" s="22"/>
      <c r="CA36" s="22"/>
      <c r="CB36" s="24" t="s">
        <v>57</v>
      </c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 t="s">
        <v>19</v>
      </c>
      <c r="CZ36" s="24"/>
      <c r="DA36" s="24"/>
      <c r="DB36" s="24"/>
      <c r="DC36" s="24"/>
      <c r="DD36" s="24"/>
      <c r="DE36" s="24"/>
      <c r="DF36" s="24"/>
      <c r="DG36" s="24"/>
      <c r="DH36" s="24"/>
      <c r="DI36" s="24"/>
      <c r="DJ36" s="24"/>
      <c r="DK36" s="24"/>
      <c r="DL36" s="24"/>
      <c r="DM36" s="24"/>
      <c r="DN36" s="24"/>
      <c r="DO36" s="24"/>
      <c r="DP36" s="24"/>
      <c r="DQ36" s="24"/>
      <c r="DR36" s="24"/>
      <c r="DS36" s="24"/>
      <c r="DT36" s="24"/>
      <c r="DU36" s="24"/>
      <c r="DW36" s="5"/>
    </row>
    <row r="37" spans="1:159" customHeight="1" ht="24.75">
      <c r="C37" s="21" t="s">
        <v>37</v>
      </c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2" t="s">
        <v>23</v>
      </c>
      <c r="U37" s="22"/>
      <c r="V37" s="22"/>
      <c r="W37" s="22"/>
      <c r="X37" s="22"/>
      <c r="Y37" s="22"/>
      <c r="Z37" s="24" t="s">
        <v>24</v>
      </c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 t="s">
        <v>19</v>
      </c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5" t="b">
        <f>OR(AND(Z37=Service1!$C$46,AW37=Service1!$C$56),AND(AW37&gt;"0",Z37&lt;&gt;Service1!$C$46))</f>
      </c>
      <c r="BU37" s="38" t="b">
        <f>OR(AND(CB37=Service1!$C$46,CY37=Service1!$C$56),AND(CY37&gt;"0",CB37&lt;&gt;Service1!$C$46))</f>
      </c>
      <c r="BV37" s="22" t="s">
        <v>38</v>
      </c>
      <c r="BW37" s="22"/>
      <c r="BX37" s="22"/>
      <c r="BY37" s="22"/>
      <c r="BZ37" s="22"/>
      <c r="CA37" s="22"/>
      <c r="CB37" s="24" t="s">
        <v>21</v>
      </c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 t="s">
        <v>19</v>
      </c>
      <c r="CZ37" s="24"/>
      <c r="DA37" s="24"/>
      <c r="DB37" s="24"/>
      <c r="DC37" s="24"/>
      <c r="DD37" s="24"/>
      <c r="DE37" s="24"/>
      <c r="DF37" s="24"/>
      <c r="DG37" s="24"/>
      <c r="DH37" s="24"/>
      <c r="DI37" s="24"/>
      <c r="DJ37" s="24"/>
      <c r="DK37" s="24"/>
      <c r="DL37" s="24"/>
      <c r="DM37" s="24"/>
      <c r="DN37" s="24"/>
      <c r="DO37" s="24"/>
      <c r="DP37" s="24"/>
      <c r="DQ37" s="24"/>
      <c r="DR37" s="24"/>
      <c r="DS37" s="24"/>
      <c r="DT37" s="24"/>
      <c r="DU37" s="24"/>
      <c r="DW37" s="5"/>
    </row>
    <row r="38" spans="1:159" customHeight="1" ht="24.75">
      <c r="C38" s="21" t="s">
        <v>39</v>
      </c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2" t="s">
        <v>38</v>
      </c>
      <c r="U38" s="22"/>
      <c r="V38" s="22"/>
      <c r="W38" s="22"/>
      <c r="X38" s="22"/>
      <c r="Y38" s="22"/>
      <c r="Z38" s="24" t="s">
        <v>30</v>
      </c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 t="s">
        <v>19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5" t="b">
        <f>OR(AND(Z38=Service1!$C$46,AW38=Service1!$C$56),AND(AW38&gt;"0",Z38&lt;&gt;Service1!$C$46))</f>
      </c>
      <c r="BU38" s="38" t="b">
        <f>OR(AND(CB38=Service1!$C$46,CY38=Service1!$C$56),AND(CY38&gt;"0",CB38&lt;&gt;Service1!$C$46))</f>
      </c>
      <c r="BV38" s="22" t="s">
        <v>33</v>
      </c>
      <c r="BW38" s="22"/>
      <c r="BX38" s="22"/>
      <c r="BY38" s="22"/>
      <c r="BZ38" s="22"/>
      <c r="CA38" s="22"/>
      <c r="CB38" s="24" t="s">
        <v>21</v>
      </c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 t="s">
        <v>19</v>
      </c>
      <c r="CZ38" s="24"/>
      <c r="DA38" s="24"/>
      <c r="DB38" s="24"/>
      <c r="DC38" s="24"/>
      <c r="DD38" s="24"/>
      <c r="DE38" s="24"/>
      <c r="DF38" s="24"/>
      <c r="DG38" s="24"/>
      <c r="DH38" s="24"/>
      <c r="DI38" s="24"/>
      <c r="DJ38" s="24"/>
      <c r="DK38" s="24"/>
      <c r="DL38" s="24"/>
      <c r="DM38" s="24"/>
      <c r="DN38" s="24"/>
      <c r="DO38" s="24"/>
      <c r="DP38" s="24"/>
      <c r="DQ38" s="24"/>
      <c r="DR38" s="24"/>
      <c r="DS38" s="24"/>
      <c r="DT38" s="24"/>
      <c r="DU38" s="24"/>
      <c r="DW38" s="5"/>
    </row>
    <row r="39" spans="1:159" customHeight="1" ht="24.75">
      <c r="C39" s="21" t="s">
        <v>40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2" t="s">
        <v>25</v>
      </c>
      <c r="U39" s="22"/>
      <c r="V39" s="22"/>
      <c r="W39" s="22"/>
      <c r="X39" s="22"/>
      <c r="Y39" s="22"/>
      <c r="Z39" s="24" t="s">
        <v>18</v>
      </c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 t="s">
        <v>19</v>
      </c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5" t="b">
        <f>OR(AND(Z39=Service1!$C$46,AW39=Service1!$C$56),AND(AW39&gt;"0",Z39&lt;&gt;Service1!$C$46))</f>
      </c>
      <c r="BU39" s="38" t="b">
        <f>OR(AND(CB39=Service1!$C$46,CY39=Service1!$C$56),AND(CY39&gt;"0",CB39&lt;&gt;Service1!$C$46))</f>
      </c>
      <c r="BV39" s="22" t="s">
        <v>33</v>
      </c>
      <c r="BW39" s="22"/>
      <c r="BX39" s="22"/>
      <c r="BY39" s="22"/>
      <c r="BZ39" s="22"/>
      <c r="CA39" s="22"/>
      <c r="CB39" s="24" t="s">
        <v>57</v>
      </c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 t="s">
        <v>19</v>
      </c>
      <c r="CZ39" s="24"/>
      <c r="DA39" s="24"/>
      <c r="DB39" s="24"/>
      <c r="DC39" s="24"/>
      <c r="DD39" s="24"/>
      <c r="DE39" s="24"/>
      <c r="DF39" s="24"/>
      <c r="DG39" s="24"/>
      <c r="DH39" s="24"/>
      <c r="DI39" s="24"/>
      <c r="DJ39" s="24"/>
      <c r="DK39" s="24"/>
      <c r="DL39" s="24"/>
      <c r="DM39" s="24"/>
      <c r="DN39" s="24"/>
      <c r="DO39" s="24"/>
      <c r="DP39" s="24"/>
      <c r="DQ39" s="24"/>
      <c r="DR39" s="24"/>
      <c r="DS39" s="24"/>
      <c r="DT39" s="24"/>
      <c r="DU39" s="24"/>
      <c r="DW39" s="5"/>
    </row>
    <row r="40" spans="1:159" customHeight="1" ht="24.75">
      <c r="C40" s="21" t="s">
        <v>42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2" t="s">
        <v>43</v>
      </c>
      <c r="U40" s="22"/>
      <c r="V40" s="22"/>
      <c r="W40" s="22"/>
      <c r="X40" s="22"/>
      <c r="Y40" s="22"/>
      <c r="Z40" s="24" t="s">
        <v>18</v>
      </c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 t="s">
        <v>19</v>
      </c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5" t="b">
        <f>OR(AND(Z40=Service1!$C$46,AW40=Service1!$C$56),AND(AW40&gt;"0",Z40&lt;&gt;Service1!$C$46))</f>
      </c>
      <c r="BU40" s="38" t="b">
        <f>OR(AND(CB40=Service1!$C$46,CY40=Service1!$C$56),AND(CY40&gt;"0",CB40&lt;&gt;Service1!$C$46))</f>
      </c>
      <c r="BV40" s="22" t="s">
        <v>44</v>
      </c>
      <c r="BW40" s="22"/>
      <c r="BX40" s="22"/>
      <c r="BY40" s="22"/>
      <c r="BZ40" s="22"/>
      <c r="CA40" s="22"/>
      <c r="CB40" s="24" t="s">
        <v>57</v>
      </c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 t="s">
        <v>19</v>
      </c>
      <c r="CZ40" s="24"/>
      <c r="DA40" s="24"/>
      <c r="DB40" s="24"/>
      <c r="DC40" s="24"/>
      <c r="DD40" s="24"/>
      <c r="DE40" s="24"/>
      <c r="DF40" s="24"/>
      <c r="DG40" s="24"/>
      <c r="DH40" s="24"/>
      <c r="DI40" s="24"/>
      <c r="DJ40" s="24"/>
      <c r="DK40" s="24"/>
      <c r="DL40" s="24"/>
      <c r="DM40" s="24"/>
      <c r="DN40" s="24"/>
      <c r="DO40" s="24"/>
      <c r="DP40" s="24"/>
      <c r="DQ40" s="24"/>
      <c r="DR40" s="24"/>
      <c r="DS40" s="24"/>
      <c r="DT40" s="24"/>
      <c r="DU40" s="24"/>
      <c r="DW40" s="5"/>
    </row>
    <row r="41" spans="1:159" customHeight="1" ht="24.75">
      <c r="C41" s="21" t="s">
        <v>45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2" t="s">
        <v>38</v>
      </c>
      <c r="U41" s="22"/>
      <c r="V41" s="22"/>
      <c r="W41" s="22"/>
      <c r="X41" s="22"/>
      <c r="Y41" s="22"/>
      <c r="Z41" s="24" t="s">
        <v>18</v>
      </c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 t="s">
        <v>19</v>
      </c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5" t="b">
        <f>OR(AND(Z41=Service1!$C$46,AW41=Service1!$C$56),AND(AW41&gt;"0",Z41&lt;&gt;Service1!$C$46))</f>
      </c>
      <c r="BU41" s="38" t="b">
        <f>OR(AND(CB41=Service1!$C$46,CY41=Service1!$C$56),AND(CY41&gt;"0",CB41&lt;&gt;Service1!$C$46))</f>
      </c>
      <c r="BV41" s="22" t="s">
        <v>20</v>
      </c>
      <c r="BW41" s="22"/>
      <c r="BX41" s="22"/>
      <c r="BY41" s="22"/>
      <c r="BZ41" s="22"/>
      <c r="CA41" s="22"/>
      <c r="CB41" s="24" t="s">
        <v>57</v>
      </c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4"/>
      <c r="CU41" s="24"/>
      <c r="CV41" s="24"/>
      <c r="CW41" s="24"/>
      <c r="CX41" s="24"/>
      <c r="CY41" s="24" t="s">
        <v>19</v>
      </c>
      <c r="CZ41" s="24"/>
      <c r="DA41" s="24"/>
      <c r="DB41" s="24"/>
      <c r="DC41" s="24"/>
      <c r="DD41" s="24"/>
      <c r="DE41" s="24"/>
      <c r="DF41" s="24"/>
      <c r="DG41" s="24"/>
      <c r="DH41" s="24"/>
      <c r="DI41" s="24"/>
      <c r="DJ41" s="24"/>
      <c r="DK41" s="24"/>
      <c r="DL41" s="24"/>
      <c r="DM41" s="24"/>
      <c r="DN41" s="24"/>
      <c r="DO41" s="24"/>
      <c r="DP41" s="24"/>
      <c r="DQ41" s="24"/>
      <c r="DR41" s="24"/>
      <c r="DS41" s="24"/>
      <c r="DT41" s="24"/>
      <c r="DU41" s="24"/>
      <c r="DW41" s="5"/>
    </row>
    <row r="42" spans="1:159" customHeight="1" ht="24.75">
      <c r="C42" s="21" t="s">
        <v>46</v>
      </c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2" t="s">
        <v>47</v>
      </c>
      <c r="U42" s="22"/>
      <c r="V42" s="22"/>
      <c r="W42" s="22"/>
      <c r="X42" s="22"/>
      <c r="Y42" s="22"/>
      <c r="Z42" s="24" t="s">
        <v>48</v>
      </c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 t="s">
        <v>19</v>
      </c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5" t="b">
        <f>OR(AND(Z42=Service1!$C$46,AW42=Service1!$C$56),AND(AW42&gt;"0",Z42&lt;&gt;Service1!$C$46))</f>
      </c>
      <c r="BU42" s="38" t="b">
        <f>OR(AND(CB42=Service1!$C$46,CY42=Service1!$C$56),AND(CY42&gt;"0",CB42&lt;&gt;Service1!$C$46))</f>
      </c>
      <c r="BV42" s="22" t="s">
        <v>49</v>
      </c>
      <c r="BW42" s="22"/>
      <c r="BX42" s="22"/>
      <c r="BY42" s="22"/>
      <c r="BZ42" s="22"/>
      <c r="CA42" s="22"/>
      <c r="CB42" s="24" t="s">
        <v>57</v>
      </c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 t="s">
        <v>19</v>
      </c>
      <c r="CZ42" s="24"/>
      <c r="DA42" s="24"/>
      <c r="DB42" s="24"/>
      <c r="DC42" s="24"/>
      <c r="DD42" s="24"/>
      <c r="DE42" s="24"/>
      <c r="DF42" s="24"/>
      <c r="DG42" s="24"/>
      <c r="DH42" s="24"/>
      <c r="DI42" s="24"/>
      <c r="DJ42" s="24"/>
      <c r="DK42" s="24"/>
      <c r="DL42" s="24"/>
      <c r="DM42" s="24"/>
      <c r="DN42" s="24"/>
      <c r="DO42" s="24"/>
      <c r="DP42" s="24"/>
      <c r="DQ42" s="24"/>
      <c r="DR42" s="24"/>
      <c r="DS42" s="24"/>
      <c r="DT42" s="24"/>
      <c r="DU42" s="24"/>
      <c r="DW42" s="5"/>
    </row>
    <row r="43" spans="1:159" customHeight="1" ht="24.75">
      <c r="C43" s="21" t="s">
        <v>50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2" t="s">
        <v>51</v>
      </c>
      <c r="U43" s="22"/>
      <c r="V43" s="22"/>
      <c r="W43" s="22"/>
      <c r="X43" s="22"/>
      <c r="Y43" s="22"/>
      <c r="Z43" s="24" t="s">
        <v>18</v>
      </c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 t="s">
        <v>19</v>
      </c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5" t="b">
        <f>OR(AND(Z43=Service1!$C$46,AW43=Service1!$C$56),AND(AW43&gt;"0",Z43&lt;&gt;Service1!$C$46))</f>
      </c>
      <c r="BU43" s="38" t="b">
        <f>OR(AND(CB43=Service1!$C$46,CY43=Service1!$C$56),AND(CY43&gt;"0",CB43&lt;&gt;Service1!$C$46))</f>
      </c>
      <c r="BV43" s="22" t="s">
        <v>44</v>
      </c>
      <c r="BW43" s="22"/>
      <c r="BX43" s="22"/>
      <c r="BY43" s="22"/>
      <c r="BZ43" s="22"/>
      <c r="CA43" s="22"/>
      <c r="CB43" s="24" t="s">
        <v>57</v>
      </c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 t="s">
        <v>19</v>
      </c>
      <c r="CZ43" s="24"/>
      <c r="DA43" s="24"/>
      <c r="DB43" s="24"/>
      <c r="DC43" s="24"/>
      <c r="DD43" s="24"/>
      <c r="DE43" s="24"/>
      <c r="DF43" s="24"/>
      <c r="DG43" s="24"/>
      <c r="DH43" s="24"/>
      <c r="DI43" s="24"/>
      <c r="DJ43" s="24"/>
      <c r="DK43" s="24"/>
      <c r="DL43" s="24"/>
      <c r="DM43" s="24"/>
      <c r="DN43" s="24"/>
      <c r="DO43" s="24"/>
      <c r="DP43" s="24"/>
      <c r="DQ43" s="24"/>
      <c r="DR43" s="24"/>
      <c r="DS43" s="24"/>
      <c r="DT43" s="24"/>
      <c r="DU43" s="24"/>
      <c r="DW43" s="5"/>
    </row>
    <row r="44" spans="1:159" customHeight="1" ht="24.75">
      <c r="C44" s="21" t="s">
        <v>52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2" t="s">
        <v>43</v>
      </c>
      <c r="U44" s="22"/>
      <c r="V44" s="22"/>
      <c r="W44" s="22"/>
      <c r="X44" s="22"/>
      <c r="Y44" s="22"/>
      <c r="Z44" s="24" t="s">
        <v>18</v>
      </c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 t="s">
        <v>19</v>
      </c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5" t="b">
        <f>OR(AND(Z44=Service1!$C$46,AW44=Service1!$C$56),AND(AW44&gt;"0",Z44&lt;&gt;Service1!$C$46))</f>
      </c>
      <c r="BU44" s="38" t="b">
        <f>OR(AND(CB44=Service1!$C$46,CY44=Service1!$C$56),AND(CY44&gt;"0",CB44&lt;&gt;Service1!$C$46))</f>
      </c>
      <c r="BV44" s="22" t="s">
        <v>44</v>
      </c>
      <c r="BW44" s="22"/>
      <c r="BX44" s="22"/>
      <c r="BY44" s="22"/>
      <c r="BZ44" s="22"/>
      <c r="CA44" s="22"/>
      <c r="CB44" s="24" t="s">
        <v>57</v>
      </c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4"/>
      <c r="CX44" s="24"/>
      <c r="CY44" s="24" t="s">
        <v>19</v>
      </c>
      <c r="CZ44" s="24"/>
      <c r="DA44" s="24"/>
      <c r="DB44" s="24"/>
      <c r="DC44" s="24"/>
      <c r="DD44" s="24"/>
      <c r="DE44" s="24"/>
      <c r="DF44" s="24"/>
      <c r="DG44" s="24"/>
      <c r="DH44" s="24"/>
      <c r="DI44" s="24"/>
      <c r="DJ44" s="24"/>
      <c r="DK44" s="24"/>
      <c r="DL44" s="24"/>
      <c r="DM44" s="24"/>
      <c r="DN44" s="24"/>
      <c r="DO44" s="24"/>
      <c r="DP44" s="24"/>
      <c r="DQ44" s="24"/>
      <c r="DR44" s="24"/>
      <c r="DS44" s="24"/>
      <c r="DT44" s="24"/>
      <c r="DU44" s="24"/>
      <c r="DW44" s="5"/>
    </row>
    <row r="45" spans="1:159" customHeight="1" ht="24.75">
      <c r="C45" s="21" t="s">
        <v>53</v>
      </c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2" t="s">
        <v>43</v>
      </c>
      <c r="U45" s="22"/>
      <c r="V45" s="22"/>
      <c r="W45" s="22"/>
      <c r="X45" s="22"/>
      <c r="Y45" s="22"/>
      <c r="Z45" s="24" t="s">
        <v>24</v>
      </c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 t="s">
        <v>19</v>
      </c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5" t="b">
        <f>OR(AND(Z45=Service1!$C$46,AW45=Service1!$C$56),AND(AW45&gt;"0",Z45&lt;&gt;Service1!$C$46))</f>
      </c>
      <c r="BU45" s="38" t="b">
        <f>OR(AND(CB45=Service1!$C$46,CY45=Service1!$C$56),AND(CY45&gt;"0",CB45&lt;&gt;Service1!$C$46))</f>
      </c>
      <c r="BV45" s="22" t="s">
        <v>20</v>
      </c>
      <c r="BW45" s="22"/>
      <c r="BX45" s="22"/>
      <c r="BY45" s="22"/>
      <c r="BZ45" s="22"/>
      <c r="CA45" s="22"/>
      <c r="CB45" s="24" t="s">
        <v>57</v>
      </c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4"/>
      <c r="CX45" s="24"/>
      <c r="CY45" s="24" t="s">
        <v>19</v>
      </c>
      <c r="CZ45" s="24"/>
      <c r="DA45" s="24"/>
      <c r="DB45" s="24"/>
      <c r="DC45" s="24"/>
      <c r="DD45" s="24"/>
      <c r="DE45" s="24"/>
      <c r="DF45" s="24"/>
      <c r="DG45" s="24"/>
      <c r="DH45" s="24"/>
      <c r="DI45" s="24"/>
      <c r="DJ45" s="24"/>
      <c r="DK45" s="24"/>
      <c r="DL45" s="24"/>
      <c r="DM45" s="24"/>
      <c r="DN45" s="24"/>
      <c r="DO45" s="24"/>
      <c r="DP45" s="24"/>
      <c r="DQ45" s="24"/>
      <c r="DR45" s="24"/>
      <c r="DS45" s="24"/>
      <c r="DT45" s="24"/>
      <c r="DU45" s="24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1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fals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fals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fals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fals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209160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fals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fals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fals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fals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fals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2024-12-09T15:53:46+01:00</dcterms:modified>
  <dc:title/>
  <dc:description/>
  <dc:subject/>
  <cp:keywords/>
  <cp:category/>
</cp:coreProperties>
</file>