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<sst xmlns="http://schemas.openxmlformats.org/spreadsheetml/2006/main" uniqueCount="56">
  <si>
    <t>ЗАВТРА</t>
  </si>
  <si>
    <t>12.12.2024</t>
  </si>
  <si>
    <t>ЧЕТВЕРГ</t>
  </si>
  <si>
    <t>12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</si>
  <si>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</si>
  <si>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</si>
  <si>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</si>
  <si>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</si>
  <si>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</si>
  <si>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</si>
  <si>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</si>
  <si>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Юго-Запад</t>
  </si>
  <si>
    <t>10 м/с</t>
  </si>
  <si>
    <t>762 мм</t>
  </si>
  <si>
    <t>9 м/с</t>
  </si>
  <si>
    <t>3</t>
  </si>
  <si>
    <t>t</t>
  </si>
  <si>
    <t>Облачность</t>
  </si>
  <si>
    <t>Явление погоды</t>
  </si>
  <si>
    <t>-4 °C</t>
  </si>
  <si>
    <t>Пасмурно</t>
  </si>
  <si>
    <t>Без осадков</t>
  </si>
  <si>
    <t>Снег</t>
  </si>
  <si>
    <t>-6 °C</t>
  </si>
  <si>
    <t xml:space="preserve"> Облачно с прояснениями</t>
  </si>
  <si>
    <t>Усть-Ишим</t>
  </si>
  <si>
    <t xml:space="preserve"> Облачно</t>
  </si>
  <si>
    <t>Тара</t>
  </si>
  <si>
    <t>-7 °C</t>
  </si>
  <si>
    <t>Тюкалинск</t>
  </si>
  <si>
    <t>Большеречье</t>
  </si>
  <si>
    <t>-5 °C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</si>
  <si>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</si>
  <si>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</si>
  <si>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</si>
  <si>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</si>
  <si>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</si>
  <si>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</si>
  <si>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</si>
  <si>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</si>
  <si>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Облачно</t>
  </si>
  <si>
    <t>Черлак</t>
  </si>
  <si>
    <t>Одесское</t>
  </si>
  <si>
    <t>Павлоградка</t>
  </si>
  <si>
    <t>ПОСЛЕЗАВТРА</t>
  </si>
  <si>
    <t>13.12.2024</t>
  </si>
  <si>
    <t>ПЯТНИЦА</t>
  </si>
  <si>
    <t>13 декабря</t>
  </si>
  <si>
    <t>Юг</t>
  </si>
  <si>
    <t>7 м/с</t>
  </si>
  <si>
    <t>764 мм</t>
  </si>
  <si>
    <t>8 м/с</t>
  </si>
  <si>
    <t>2</t>
  </si>
  <si>
    <t>-8 °C</t>
  </si>
  <si>
    <t xml:space="preserve"> Ясно</t>
  </si>
  <si>
    <t>Переменная облачность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</si>
</sst>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BK45" sqref="BK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 t="s">
        <v>11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12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13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38" t="s">
        <v>14</v>
      </c>
      <c r="BP6" s="16"/>
      <c r="BQ6" s="16"/>
      <c r="BR6" s="16"/>
      <c r="BS6" s="16"/>
      <c r="BT6" s="17"/>
      <c r="BU6" s="17"/>
      <c r="BV6" s="40" t="s">
        <v>11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15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16</v>
      </c>
      <c r="U7" s="12"/>
      <c r="V7" s="12"/>
      <c r="W7" s="12"/>
      <c r="X7" s="12"/>
      <c r="Y7" s="12"/>
      <c r="Z7" s="12" t="s">
        <v>17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18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16</v>
      </c>
      <c r="BW7" s="12"/>
      <c r="BX7" s="12"/>
      <c r="BY7" s="12"/>
      <c r="BZ7" s="12"/>
      <c r="CA7" s="12"/>
      <c r="CB7" s="12" t="s">
        <v>17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18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19</v>
      </c>
      <c r="U8" s="21"/>
      <c r="V8" s="21"/>
      <c r="W8" s="21"/>
      <c r="X8" s="21"/>
      <c r="Y8" s="21"/>
      <c r="Z8" s="42" t="s">
        <v>20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 t="s">
        <v>21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41" t="s">
        <v>22</v>
      </c>
      <c r="BI8" s="23"/>
      <c r="BJ8" s="23"/>
      <c r="BK8" s="41" t="s">
        <v>20</v>
      </c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23</v>
      </c>
      <c r="BW8" s="21"/>
      <c r="BX8" s="21"/>
      <c r="BY8" s="21"/>
      <c r="BZ8" s="21"/>
      <c r="CA8" s="21"/>
      <c r="CB8" s="23" t="s">
        <v>24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21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19</v>
      </c>
      <c r="U9" s="21"/>
      <c r="V9" s="21"/>
      <c r="W9" s="21"/>
      <c r="X9" s="21"/>
      <c r="Y9" s="21"/>
      <c r="Z9" s="42" t="s">
        <v>20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 t="s">
        <v>22</v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41" t="s">
        <v>22</v>
      </c>
      <c r="BI9" s="23"/>
      <c r="BJ9" s="23"/>
      <c r="BK9" s="41" t="s">
        <v>20</v>
      </c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23</v>
      </c>
      <c r="BW9" s="21"/>
      <c r="BX9" s="21"/>
      <c r="BY9" s="21"/>
      <c r="BZ9" s="21"/>
      <c r="CA9" s="21"/>
      <c r="CB9" s="23" t="s">
        <v>26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21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27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19</v>
      </c>
      <c r="U10" s="21"/>
      <c r="V10" s="21"/>
      <c r="W10" s="21"/>
      <c r="X10" s="21"/>
      <c r="Y10" s="21"/>
      <c r="Z10" s="42" t="s">
        <v>20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 t="s">
        <v>22</v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41" t="s">
        <v>22</v>
      </c>
      <c r="BI10" s="23"/>
      <c r="BJ10" s="23"/>
      <c r="BK10" s="41" t="s">
        <v>20</v>
      </c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28</v>
      </c>
      <c r="BW10" s="21"/>
      <c r="BX10" s="21"/>
      <c r="BY10" s="21"/>
      <c r="BZ10" s="21"/>
      <c r="CA10" s="21"/>
      <c r="CB10" s="23" t="s">
        <v>26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21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29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19</v>
      </c>
      <c r="U11" s="21"/>
      <c r="V11" s="21"/>
      <c r="W11" s="21"/>
      <c r="X11" s="21"/>
      <c r="Y11" s="21"/>
      <c r="Z11" s="42" t="s">
        <v>20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 t="s">
        <v>22</v>
      </c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41" t="s">
        <v>22</v>
      </c>
      <c r="BI11" s="23"/>
      <c r="BJ11" s="23"/>
      <c r="BK11" s="41" t="s">
        <v>20</v>
      </c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23</v>
      </c>
      <c r="BW11" s="21"/>
      <c r="BX11" s="21"/>
      <c r="BY11" s="21"/>
      <c r="BZ11" s="21"/>
      <c r="CA11" s="21"/>
      <c r="CB11" s="23" t="s">
        <v>24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21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30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31</v>
      </c>
      <c r="U12" s="21"/>
      <c r="V12" s="21"/>
      <c r="W12" s="21"/>
      <c r="X12" s="21"/>
      <c r="Y12" s="21"/>
      <c r="Z12" s="42" t="s">
        <v>20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 t="s">
        <v>22</v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41" t="s">
        <v>22</v>
      </c>
      <c r="BI12" s="23"/>
      <c r="BJ12" s="23"/>
      <c r="BK12" s="41" t="s">
        <v>20</v>
      </c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28</v>
      </c>
      <c r="BW12" s="21"/>
      <c r="BX12" s="21"/>
      <c r="BY12" s="21"/>
      <c r="BZ12" s="21"/>
      <c r="CA12" s="21"/>
      <c r="CB12" s="23" t="s">
        <v>26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21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32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31</v>
      </c>
      <c r="U13" s="21"/>
      <c r="V13" s="21"/>
      <c r="W13" s="21"/>
      <c r="X13" s="21"/>
      <c r="Y13" s="21"/>
      <c r="Z13" s="42" t="s">
        <v>20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 t="s">
        <v>21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41" t="s">
        <v>22</v>
      </c>
      <c r="BI13" s="23"/>
      <c r="BJ13" s="23"/>
      <c r="BK13" s="41" t="s">
        <v>20</v>
      </c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28</v>
      </c>
      <c r="BW13" s="21"/>
      <c r="BX13" s="21"/>
      <c r="BY13" s="21"/>
      <c r="BZ13" s="21"/>
      <c r="CA13" s="21"/>
      <c r="CB13" s="23" t="s">
        <v>24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21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33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19</v>
      </c>
      <c r="U14" s="21"/>
      <c r="V14" s="21"/>
      <c r="W14" s="21"/>
      <c r="X14" s="21"/>
      <c r="Y14" s="21"/>
      <c r="Z14" s="42" t="s">
        <v>20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 t="s">
        <v>22</v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41" t="s">
        <v>22</v>
      </c>
      <c r="BI14" s="23"/>
      <c r="BJ14" s="23"/>
      <c r="BK14" s="41" t="s">
        <v>20</v>
      </c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28</v>
      </c>
      <c r="BW14" s="21"/>
      <c r="BX14" s="21"/>
      <c r="BY14" s="21"/>
      <c r="BZ14" s="21"/>
      <c r="CA14" s="21"/>
      <c r="CB14" s="23" t="s">
        <v>26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21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34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19</v>
      </c>
      <c r="U15" s="21"/>
      <c r="V15" s="21"/>
      <c r="W15" s="21"/>
      <c r="X15" s="21"/>
      <c r="Y15" s="21"/>
      <c r="Z15" s="42" t="s">
        <v>20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 t="s">
        <v>22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41" t="s">
        <v>22</v>
      </c>
      <c r="BI15" s="23"/>
      <c r="BJ15" s="23"/>
      <c r="BK15" s="41" t="s">
        <v>20</v>
      </c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23</v>
      </c>
      <c r="BW15" s="21"/>
      <c r="BX15" s="21"/>
      <c r="BY15" s="21"/>
      <c r="BZ15" s="21"/>
      <c r="CA15" s="21"/>
      <c r="CB15" s="23" t="s">
        <v>24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21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35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31</v>
      </c>
      <c r="U16" s="21"/>
      <c r="V16" s="21"/>
      <c r="W16" s="21"/>
      <c r="X16" s="21"/>
      <c r="Y16" s="21"/>
      <c r="Z16" s="42" t="s">
        <v>20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 t="s">
        <v>21</v>
      </c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41" t="s">
        <v>21</v>
      </c>
      <c r="BI16" s="23"/>
      <c r="BJ16" s="23"/>
      <c r="BK16" s="41" t="s">
        <v>20</v>
      </c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23</v>
      </c>
      <c r="BW16" s="21"/>
      <c r="BX16" s="21"/>
      <c r="BY16" s="21"/>
      <c r="BZ16" s="21"/>
      <c r="CA16" s="21"/>
      <c r="CB16" s="23" t="s">
        <v>36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21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37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31</v>
      </c>
      <c r="U17" s="21"/>
      <c r="V17" s="21"/>
      <c r="W17" s="21"/>
      <c r="X17" s="21"/>
      <c r="Y17" s="21"/>
      <c r="Z17" s="42" t="s">
        <v>20</v>
      </c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 t="s">
        <v>21</v>
      </c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41" t="s">
        <v>22</v>
      </c>
      <c r="BI17" s="23"/>
      <c r="BJ17" s="23"/>
      <c r="BK17" s="41" t="s">
        <v>20</v>
      </c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23</v>
      </c>
      <c r="BW17" s="21"/>
      <c r="BX17" s="21"/>
      <c r="BY17" s="21"/>
      <c r="BZ17" s="21"/>
      <c r="CA17" s="21"/>
      <c r="CB17" s="23" t="s">
        <v>24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21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38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19</v>
      </c>
      <c r="U18" s="21"/>
      <c r="V18" s="21"/>
      <c r="W18" s="21"/>
      <c r="X18" s="21"/>
      <c r="Y18" s="21"/>
      <c r="Z18" s="42" t="s">
        <v>20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 t="s">
        <v>21</v>
      </c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41" t="s">
        <v>21</v>
      </c>
      <c r="BI18" s="23"/>
      <c r="BJ18" s="23"/>
      <c r="BK18" s="41" t="s">
        <v>20</v>
      </c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23</v>
      </c>
      <c r="BW18" s="21"/>
      <c r="BX18" s="21"/>
      <c r="BY18" s="21"/>
      <c r="BZ18" s="21"/>
      <c r="CA18" s="21"/>
      <c r="CB18" s="23" t="s">
        <v>24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21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23</v>
      </c>
      <c r="U19" s="21"/>
      <c r="V19" s="21"/>
      <c r="W19" s="21"/>
      <c r="X19" s="21"/>
      <c r="Y19" s="21"/>
      <c r="Z19" s="41" t="s">
        <v>40</v>
      </c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 t="s">
        <v>21</v>
      </c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41" t="s">
        <v>21</v>
      </c>
      <c r="BI19" s="23"/>
      <c r="BJ19" s="23"/>
      <c r="BK19" s="41" t="s">
        <v>20</v>
      </c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28</v>
      </c>
      <c r="BW19" s="21"/>
      <c r="BX19" s="21"/>
      <c r="BY19" s="21"/>
      <c r="BZ19" s="21"/>
      <c r="CA19" s="21"/>
      <c r="CB19" s="23" t="s">
        <v>36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21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41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23</v>
      </c>
      <c r="U20" s="21"/>
      <c r="V20" s="21"/>
      <c r="W20" s="21"/>
      <c r="X20" s="21"/>
      <c r="Y20" s="21"/>
      <c r="Z20" s="41" t="s">
        <v>20</v>
      </c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 t="s">
        <v>21</v>
      </c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41" t="s">
        <v>21</v>
      </c>
      <c r="BI20" s="23"/>
      <c r="BJ20" s="23"/>
      <c r="BK20" s="41" t="s">
        <v>20</v>
      </c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28</v>
      </c>
      <c r="BW20" s="21"/>
      <c r="BX20" s="21"/>
      <c r="BY20" s="21"/>
      <c r="BZ20" s="21"/>
      <c r="CA20" s="21"/>
      <c r="CB20" s="23" t="s">
        <v>36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21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42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31</v>
      </c>
      <c r="U21" s="21"/>
      <c r="V21" s="21"/>
      <c r="W21" s="21"/>
      <c r="X21" s="21"/>
      <c r="Y21" s="21"/>
      <c r="Z21" s="41" t="s">
        <v>20</v>
      </c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 t="s">
        <v>21</v>
      </c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41" t="s">
        <v>21</v>
      </c>
      <c r="BI21" s="23"/>
      <c r="BJ21" s="23"/>
      <c r="BK21" s="41" t="s">
        <v>20</v>
      </c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23</v>
      </c>
      <c r="BW21" s="21"/>
      <c r="BX21" s="21"/>
      <c r="BY21" s="21"/>
      <c r="BZ21" s="21"/>
      <c r="CA21" s="21"/>
      <c r="CB21" s="23" t="s">
        <v>36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21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43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31</v>
      </c>
      <c r="U22" s="21"/>
      <c r="V22" s="21"/>
      <c r="W22" s="21"/>
      <c r="X22" s="21"/>
      <c r="Y22" s="21"/>
      <c r="Z22" s="41" t="s">
        <v>20</v>
      </c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 t="s">
        <v>21</v>
      </c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41" t="s">
        <v>21</v>
      </c>
      <c r="BI22" s="23"/>
      <c r="BJ22" s="23"/>
      <c r="BK22" s="41" t="s">
        <v>20</v>
      </c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23</v>
      </c>
      <c r="BW22" s="21"/>
      <c r="BX22" s="21"/>
      <c r="BY22" s="21"/>
      <c r="BZ22" s="21"/>
      <c r="CA22" s="21"/>
      <c r="CB22" s="23" t="s">
        <v>36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21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44</v>
      </c>
      <c r="D25" s="6"/>
      <c r="E25" s="6"/>
      <c r="F25" s="6"/>
      <c r="G25" s="6"/>
      <c r="H25" s="6"/>
      <c r="I25" s="6"/>
      <c r="J25" s="6"/>
      <c r="K25" s="6"/>
      <c r="L25" s="7" t="s">
        <v>45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46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47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0" t="s">
        <v>48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39" t="s">
        <v>49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38" t="s">
        <v>50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38" t="s">
        <v>51</v>
      </c>
      <c r="BP29" s="16"/>
      <c r="BQ29" s="16"/>
      <c r="BR29" s="16"/>
      <c r="BS29" s="16"/>
      <c r="BT29" s="17"/>
      <c r="BU29" s="17"/>
      <c r="BV29" s="40" t="s">
        <v>11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52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16</v>
      </c>
      <c r="U30" s="12"/>
      <c r="V30" s="12"/>
      <c r="W30" s="12"/>
      <c r="X30" s="12"/>
      <c r="Y30" s="12"/>
      <c r="Z30" s="12" t="s">
        <v>36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21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16</v>
      </c>
      <c r="BW30" s="12"/>
      <c r="BX30" s="12"/>
      <c r="BY30" s="12"/>
      <c r="BZ30" s="12"/>
      <c r="CA30" s="12"/>
      <c r="CB30" s="12" t="s">
        <v>17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18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53</v>
      </c>
      <c r="U31" s="21"/>
      <c r="V31" s="21"/>
      <c r="W31" s="21"/>
      <c r="X31" s="21"/>
      <c r="Y31" s="21"/>
      <c r="Z31" s="41" t="s">
        <v>20</v>
      </c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 t="s">
        <v>21</v>
      </c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41" t="s">
        <v>21</v>
      </c>
      <c r="BI31" s="23"/>
      <c r="BJ31" s="23"/>
      <c r="BK31" s="41" t="s">
        <v>20</v>
      </c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1</v>
      </c>
      <c r="BU31" s="36" t="b">
        <f>OR(AND(CB31=Service1!$C$46,CY31=Service1!$C$56),AND(CY31&gt;"0",CB31&lt;&gt;Service1!$C$46))</f>
        <v>1</v>
      </c>
      <c r="BV31" s="37" t="s">
        <v>23</v>
      </c>
      <c r="BW31" s="21"/>
      <c r="BX31" s="21"/>
      <c r="BY31" s="21"/>
      <c r="BZ31" s="21"/>
      <c r="CA31" s="21"/>
      <c r="CB31" s="23" t="s">
        <v>54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21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25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31</v>
      </c>
      <c r="U32" s="21"/>
      <c r="V32" s="21"/>
      <c r="W32" s="21"/>
      <c r="X32" s="21"/>
      <c r="Y32" s="21"/>
      <c r="Z32" s="41" t="s">
        <v>20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 t="s">
        <v>21</v>
      </c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41" t="s">
        <v>22</v>
      </c>
      <c r="BI32" s="23"/>
      <c r="BJ32" s="23"/>
      <c r="BK32" s="41" t="s">
        <v>20</v>
      </c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1</v>
      </c>
      <c r="BU32" s="36" t="b">
        <f>OR(AND(CB32=Service1!$C$46,CY32=Service1!$C$56),AND(CY32&gt;"0",CB32&lt;&gt;Service1!$C$46))</f>
        <v>1</v>
      </c>
      <c r="BV32" s="37" t="s">
        <v>31</v>
      </c>
      <c r="BW32" s="21"/>
      <c r="BX32" s="21"/>
      <c r="BY32" s="21"/>
      <c r="BZ32" s="21"/>
      <c r="CA32" s="21"/>
      <c r="CB32" s="23" t="s">
        <v>24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21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53</v>
      </c>
      <c r="U33" s="21"/>
      <c r="V33" s="21"/>
      <c r="W33" s="21"/>
      <c r="X33" s="21"/>
      <c r="Y33" s="21"/>
      <c r="Z33" s="41" t="s">
        <v>20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 t="s">
        <v>21</v>
      </c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41" t="s">
        <v>22</v>
      </c>
      <c r="BI33" s="23"/>
      <c r="BJ33" s="23"/>
      <c r="BK33" s="41" t="s">
        <v>20</v>
      </c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1</v>
      </c>
      <c r="BU33" s="36" t="b">
        <f>OR(AND(CB33=Service1!$C$46,CY33=Service1!$C$56),AND(CY33&gt;"0",CB33&lt;&gt;Service1!$C$46))</f>
        <v>1</v>
      </c>
      <c r="BV33" s="37" t="s">
        <v>31</v>
      </c>
      <c r="BW33" s="21"/>
      <c r="BX33" s="21"/>
      <c r="BY33" s="21"/>
      <c r="BZ33" s="21"/>
      <c r="CA33" s="21"/>
      <c r="CB33" s="23" t="s">
        <v>24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21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29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28</v>
      </c>
      <c r="U34" s="21"/>
      <c r="V34" s="21"/>
      <c r="W34" s="21"/>
      <c r="X34" s="21"/>
      <c r="Y34" s="21"/>
      <c r="Z34" s="41" t="s">
        <v>20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 t="s">
        <v>21</v>
      </c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41" t="s">
        <v>21</v>
      </c>
      <c r="BI34" s="23"/>
      <c r="BJ34" s="23"/>
      <c r="BK34" s="41" t="s">
        <v>20</v>
      </c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1</v>
      </c>
      <c r="BU34" s="36" t="b">
        <f>OR(AND(CB34=Service1!$C$46,CY34=Service1!$C$56),AND(CY34&gt;"0",CB34&lt;&gt;Service1!$C$46))</f>
        <v>1</v>
      </c>
      <c r="BV34" s="37" t="s">
        <v>31</v>
      </c>
      <c r="BW34" s="21"/>
      <c r="BX34" s="21"/>
      <c r="BY34" s="21"/>
      <c r="BZ34" s="21"/>
      <c r="CA34" s="21"/>
      <c r="CB34" s="23" t="s">
        <v>54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21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30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53</v>
      </c>
      <c r="U35" s="21"/>
      <c r="V35" s="21"/>
      <c r="W35" s="21"/>
      <c r="X35" s="21"/>
      <c r="Y35" s="21"/>
      <c r="Z35" s="41" t="s">
        <v>40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 t="s">
        <v>21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41" t="s">
        <v>21</v>
      </c>
      <c r="BI35" s="23"/>
      <c r="BJ35" s="23"/>
      <c r="BK35" s="41" t="s">
        <v>20</v>
      </c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1</v>
      </c>
      <c r="BU35" s="36" t="b">
        <f>OR(AND(CB35=Service1!$C$46,CY35=Service1!$C$56),AND(CY35&gt;"0",CB35&lt;&gt;Service1!$C$46))</f>
        <v>1</v>
      </c>
      <c r="BV35" s="37" t="s">
        <v>23</v>
      </c>
      <c r="BW35" s="21"/>
      <c r="BX35" s="21"/>
      <c r="BY35" s="21"/>
      <c r="BZ35" s="21"/>
      <c r="CA35" s="21"/>
      <c r="CB35" s="23" t="s">
        <v>24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21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32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28</v>
      </c>
      <c r="U36" s="21"/>
      <c r="V36" s="21"/>
      <c r="W36" s="21"/>
      <c r="X36" s="21"/>
      <c r="Y36" s="21"/>
      <c r="Z36" s="41" t="s">
        <v>20</v>
      </c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 t="s">
        <v>21</v>
      </c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41" t="s">
        <v>21</v>
      </c>
      <c r="BI36" s="23"/>
      <c r="BJ36" s="23"/>
      <c r="BK36" s="41" t="s">
        <v>20</v>
      </c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1</v>
      </c>
      <c r="BU36" s="36" t="b">
        <f>OR(AND(CB36=Service1!$C$46,CY36=Service1!$C$56),AND(CY36&gt;"0",CB36&lt;&gt;Service1!$C$46))</f>
        <v>1</v>
      </c>
      <c r="BV36" s="37" t="s">
        <v>31</v>
      </c>
      <c r="BW36" s="21"/>
      <c r="BX36" s="21"/>
      <c r="BY36" s="21"/>
      <c r="BZ36" s="21"/>
      <c r="CA36" s="21"/>
      <c r="CB36" s="23" t="s">
        <v>54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21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33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23</v>
      </c>
      <c r="U37" s="21"/>
      <c r="V37" s="21"/>
      <c r="W37" s="21"/>
      <c r="X37" s="21"/>
      <c r="Y37" s="21"/>
      <c r="Z37" s="41" t="s">
        <v>20</v>
      </c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 t="s">
        <v>21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41" t="s">
        <v>22</v>
      </c>
      <c r="BI37" s="23"/>
      <c r="BJ37" s="23"/>
      <c r="BK37" s="41" t="s">
        <v>20</v>
      </c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1</v>
      </c>
      <c r="BU37" s="36" t="b">
        <f>OR(AND(CB37=Service1!$C$46,CY37=Service1!$C$56),AND(CY37&gt;"0",CB37&lt;&gt;Service1!$C$46))</f>
        <v>1</v>
      </c>
      <c r="BV37" s="37" t="s">
        <v>31</v>
      </c>
      <c r="BW37" s="21"/>
      <c r="BX37" s="21"/>
      <c r="BY37" s="21"/>
      <c r="BZ37" s="21"/>
      <c r="CA37" s="21"/>
      <c r="CB37" s="23" t="s">
        <v>24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21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34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53</v>
      </c>
      <c r="U38" s="21"/>
      <c r="V38" s="21"/>
      <c r="W38" s="21"/>
      <c r="X38" s="21"/>
      <c r="Y38" s="21"/>
      <c r="Z38" s="41" t="s">
        <v>40</v>
      </c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 t="s">
        <v>21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41" t="s">
        <v>21</v>
      </c>
      <c r="BI38" s="23"/>
      <c r="BJ38" s="23"/>
      <c r="BK38" s="41" t="s">
        <v>20</v>
      </c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1</v>
      </c>
      <c r="BU38" s="36" t="b">
        <f>OR(AND(CB38=Service1!$C$46,CY38=Service1!$C$56),AND(CY38&gt;"0",CB38&lt;&gt;Service1!$C$46))</f>
        <v>1</v>
      </c>
      <c r="BV38" s="37" t="s">
        <v>23</v>
      </c>
      <c r="BW38" s="21"/>
      <c r="BX38" s="21"/>
      <c r="BY38" s="21"/>
      <c r="BZ38" s="21"/>
      <c r="CA38" s="21"/>
      <c r="CB38" s="23" t="s">
        <v>24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21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35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28</v>
      </c>
      <c r="U39" s="21"/>
      <c r="V39" s="21"/>
      <c r="W39" s="21"/>
      <c r="X39" s="21"/>
      <c r="Y39" s="21"/>
      <c r="Z39" s="41" t="s">
        <v>20</v>
      </c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 t="s">
        <v>21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41" t="s">
        <v>21</v>
      </c>
      <c r="BI39" s="23"/>
      <c r="BJ39" s="23"/>
      <c r="BK39" s="41" t="s">
        <v>40</v>
      </c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1</v>
      </c>
      <c r="BU39" s="36" t="b">
        <f>OR(AND(CB39=Service1!$C$46,CY39=Service1!$C$56),AND(CY39&gt;"0",CB39&lt;&gt;Service1!$C$46))</f>
        <v>1</v>
      </c>
      <c r="BV39" s="37" t="s">
        <v>28</v>
      </c>
      <c r="BW39" s="21"/>
      <c r="BX39" s="21"/>
      <c r="BY39" s="21"/>
      <c r="BZ39" s="21"/>
      <c r="CA39" s="21"/>
      <c r="CB39" s="23" t="s">
        <v>54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21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37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53</v>
      </c>
      <c r="U40" s="21"/>
      <c r="V40" s="21"/>
      <c r="W40" s="21"/>
      <c r="X40" s="21"/>
      <c r="Y40" s="21"/>
      <c r="Z40" s="41" t="s">
        <v>40</v>
      </c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 t="s">
        <v>21</v>
      </c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41" t="s">
        <v>21</v>
      </c>
      <c r="BI40" s="23"/>
      <c r="BJ40" s="23"/>
      <c r="BK40" s="41" t="s">
        <v>20</v>
      </c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1</v>
      </c>
      <c r="BU40" s="36" t="b">
        <f>OR(AND(CB40=Service1!$C$46,CY40=Service1!$C$56),AND(CY40&gt;"0",CB40&lt;&gt;Service1!$C$46))</f>
        <v>1</v>
      </c>
      <c r="BV40" s="37" t="s">
        <v>23</v>
      </c>
      <c r="BW40" s="21"/>
      <c r="BX40" s="21"/>
      <c r="BY40" s="21"/>
      <c r="BZ40" s="21"/>
      <c r="CA40" s="21"/>
      <c r="CB40" s="23" t="s">
        <v>54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21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38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28</v>
      </c>
      <c r="U41" s="21"/>
      <c r="V41" s="21"/>
      <c r="W41" s="21"/>
      <c r="X41" s="21"/>
      <c r="Y41" s="21"/>
      <c r="Z41" s="41" t="s">
        <v>20</v>
      </c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 t="s">
        <v>21</v>
      </c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41" t="s">
        <v>21</v>
      </c>
      <c r="BI41" s="23"/>
      <c r="BJ41" s="23"/>
      <c r="BK41" s="41" t="s">
        <v>40</v>
      </c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1</v>
      </c>
      <c r="BU41" s="36" t="b">
        <f>OR(AND(CB41=Service1!$C$46,CY41=Service1!$C$56),AND(CY41&gt;"0",CB41&lt;&gt;Service1!$C$46))</f>
        <v>1</v>
      </c>
      <c r="BV41" s="37" t="s">
        <v>53</v>
      </c>
      <c r="BW41" s="21"/>
      <c r="BX41" s="21"/>
      <c r="BY41" s="21"/>
      <c r="BZ41" s="21"/>
      <c r="CA41" s="21"/>
      <c r="CB41" s="23" t="s">
        <v>54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21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39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28</v>
      </c>
      <c r="U42" s="21"/>
      <c r="V42" s="21"/>
      <c r="W42" s="21"/>
      <c r="X42" s="21"/>
      <c r="Y42" s="21"/>
      <c r="Z42" s="41" t="s">
        <v>20</v>
      </c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 t="s">
        <v>21</v>
      </c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41" t="s">
        <v>21</v>
      </c>
      <c r="BI42" s="23"/>
      <c r="BJ42" s="23"/>
      <c r="BK42" s="41" t="s">
        <v>55</v>
      </c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1</v>
      </c>
      <c r="BU42" s="36" t="b">
        <f>OR(AND(CB42=Service1!$C$46,CY42=Service1!$C$56),AND(CY42&gt;"0",CB42&lt;&gt;Service1!$C$46))</f>
        <v>1</v>
      </c>
      <c r="BV42" s="37" t="s">
        <v>53</v>
      </c>
      <c r="BW42" s="21"/>
      <c r="BX42" s="21"/>
      <c r="BY42" s="21"/>
      <c r="BZ42" s="21"/>
      <c r="CA42" s="21"/>
      <c r="CB42" s="23" t="s">
        <v>54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21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41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28</v>
      </c>
      <c r="U43" s="21"/>
      <c r="V43" s="21"/>
      <c r="W43" s="21"/>
      <c r="X43" s="21"/>
      <c r="Y43" s="21"/>
      <c r="Z43" s="41" t="s">
        <v>55</v>
      </c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 t="s">
        <v>21</v>
      </c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41" t="s">
        <v>21</v>
      </c>
      <c r="BI43" s="23"/>
      <c r="BJ43" s="23"/>
      <c r="BK43" s="41" t="s">
        <v>40</v>
      </c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1</v>
      </c>
      <c r="BU43" s="36" t="b">
        <f>OR(AND(CB43=Service1!$C$46,CY43=Service1!$C$56),AND(CY43&gt;"0",CB43&lt;&gt;Service1!$C$46))</f>
        <v>1</v>
      </c>
      <c r="BV43" s="37" t="s">
        <v>53</v>
      </c>
      <c r="BW43" s="21"/>
      <c r="BX43" s="21"/>
      <c r="BY43" s="21"/>
      <c r="BZ43" s="21"/>
      <c r="CA43" s="21"/>
      <c r="CB43" s="23" t="s">
        <v>54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21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42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28</v>
      </c>
      <c r="U44" s="21"/>
      <c r="V44" s="21"/>
      <c r="W44" s="21"/>
      <c r="X44" s="21"/>
      <c r="Y44" s="21"/>
      <c r="Z44" s="41" t="s">
        <v>20</v>
      </c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 t="s">
        <v>21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41" t="s">
        <v>21</v>
      </c>
      <c r="BI44" s="23"/>
      <c r="BJ44" s="23"/>
      <c r="BK44" s="41" t="s">
        <v>40</v>
      </c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1</v>
      </c>
      <c r="BU44" s="36" t="b">
        <f>OR(AND(CB44=Service1!$C$46,CY44=Service1!$C$56),AND(CY44&gt;"0",CB44&lt;&gt;Service1!$C$46))</f>
        <v>1</v>
      </c>
      <c r="BV44" s="37" t="s">
        <v>53</v>
      </c>
      <c r="BW44" s="21"/>
      <c r="BX44" s="21"/>
      <c r="BY44" s="21"/>
      <c r="BZ44" s="21"/>
      <c r="CA44" s="21"/>
      <c r="CB44" s="23" t="s">
        <v>54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21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43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28</v>
      </c>
      <c r="U45" s="21"/>
      <c r="V45" s="21"/>
      <c r="W45" s="21"/>
      <c r="X45" s="21"/>
      <c r="Y45" s="21"/>
      <c r="Z45" s="41" t="s">
        <v>20</v>
      </c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 t="s">
        <v>21</v>
      </c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41" t="s">
        <v>21</v>
      </c>
      <c r="BI45" s="23"/>
      <c r="BJ45" s="23"/>
      <c r="BK45" s="41" t="s">
        <v>40</v>
      </c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1</v>
      </c>
      <c r="BU45" s="36" t="b">
        <f>OR(AND(CB45=Service1!$C$46,CY45=Service1!$C$56),AND(CY45&gt;"0",CB45&lt;&gt;Service1!$C$46))</f>
        <v>1</v>
      </c>
      <c r="BV45" s="37" t="s">
        <v>53</v>
      </c>
      <c r="BW45" s="21"/>
      <c r="BX45" s="21"/>
      <c r="BY45" s="21"/>
      <c r="BZ45" s="21"/>
      <c r="CA45" s="21"/>
      <c r="CB45" s="23" t="s">
        <v>54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21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