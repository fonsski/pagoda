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500" visibility="visible"/>
  </bookViews>
  <sheets>
    <sheet name="METEO" sheetId="1" r:id="rId4"/>
  </sheets>
  <definedNames/>
  <calcPr calcId="999999" calcMode="auto" calcCompleted="1" fullCalcOnLoad="0" forceFullCalc="0"/>
</workbook>
</file>

<file path=xl/sharedStrings.xml><?xml version="1.0" encoding="utf-8"?>
<sst xmlns="http://schemas.openxmlformats.org/spreadsheetml/2006/main" uniqueCount="45">
  <si>
    <t>ЗАВТРА</t>
  </si>
  <si>
    <t>4.10.2024</t>
  </si>
  <si>
    <t>Attention! Копировать только через кнопки (слева) или сочетания клавиш Ctr+C - Ctr+V</t>
  </si>
  <si>
    <t>ДЕНЬ</t>
  </si>
  <si>
    <t>НОЧЬ</t>
  </si>
  <si>
    <t>Направление ветра</t>
  </si>
  <si>
    <t>Сила ветра</t>
  </si>
  <si>
    <t>Атмосферное давление</t>
  </si>
  <si>
    <t>Омск</t>
  </si>
  <si>
    <t>Юго-Запад</t>
  </si>
  <si>
    <t>8 м/с</t>
  </si>
  <si>
    <t>767 мм</t>
  </si>
  <si>
    <t>3</t>
  </si>
  <si>
    <t>t</t>
  </si>
  <si>
    <t>Облачность</t>
  </si>
  <si>
    <t>Явление погоды</t>
  </si>
  <si>
    <t>-8 °C</t>
  </si>
  <si>
    <t>Облачно</t>
  </si>
  <si>
    <t>Снег</t>
  </si>
  <si>
    <t>-6 °C</t>
  </si>
  <si>
    <t xml:space="preserve"> Облачно с прояснениями</t>
  </si>
  <si>
    <t>Без осадков</t>
  </si>
  <si>
    <t>Усть-Ишим</t>
  </si>
  <si>
    <t>-7 °C</t>
  </si>
  <si>
    <t>Пасмурно</t>
  </si>
  <si>
    <t xml:space="preserve"> Облачно</t>
  </si>
  <si>
    <t>Тара</t>
  </si>
  <si>
    <t>Тюкалинск</t>
  </si>
  <si>
    <t>Большеречье</t>
  </si>
  <si>
    <t>Называевск</t>
  </si>
  <si>
    <t>Тевриз</t>
  </si>
  <si>
    <t>Саргатское</t>
  </si>
  <si>
    <t>Исилькуль</t>
  </si>
  <si>
    <t xml:space="preserve"> Переменная облачность</t>
  </si>
  <si>
    <t>Калачинск</t>
  </si>
  <si>
    <t>Полтавка</t>
  </si>
  <si>
    <t>Русская Поляна</t>
  </si>
  <si>
    <t>Черлак</t>
  </si>
  <si>
    <t>Одесское</t>
  </si>
  <si>
    <t>Павлоградка</t>
  </si>
  <si>
    <t>ПОСЛЕЗАВТРА</t>
  </si>
  <si>
    <t>5.10.2024</t>
  </si>
  <si>
    <t>Южный</t>
  </si>
  <si>
    <t>2</t>
  </si>
  <si>
    <t xml:space="preserve"> Ясно</t>
  </si>
</sst>
</file>

<file path=xl/styles.xml><?xml version="1.0" encoding="utf-8"?>
<styleSheet xmlns="http://schemas.openxmlformats.org/spreadsheetml/2006/main" xml:space="preserve">
  <numFmts count="4">
    <numFmt numFmtId="164" formatCode="[$-FC19]d\ mmmm"/>
    <numFmt numFmtId="165" formatCode="@&quot; м/с&quot;"/>
    <numFmt numFmtId="166" formatCode="#&quot; мм&quot;"/>
    <numFmt numFmtId="167" formatCode="\+#,##0\°;\-#,##0\°;0\°"/>
  </numFmts>
  <fonts count="5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BFBFBF"/>
      <name val="Calibri"/>
    </font>
    <font>
      <b val="0"/>
      <i val="0"/>
      <strike val="0"/>
      <u val="none"/>
      <sz val="17"/>
      <color rgb="FF000000"/>
      <name val="Calibri"/>
    </font>
    <font>
      <b val="0"/>
      <i val="0"/>
      <strike val="0"/>
      <u val="none"/>
      <sz val="17"/>
      <color rgb="FFBFBFBF"/>
      <name val="Calibri"/>
    </font>
    <font>
      <b val="0"/>
      <i val="0"/>
      <strike val="0"/>
      <u val="none"/>
      <sz val="17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BFBFBF"/>
        <bgColor rgb="FFD9D9D9"/>
      </patternFill>
    </fill>
    <fill>
      <patternFill patternType="solid">
        <fgColor rgb="FFffffff"/>
        <bgColor rgb="FFFFFFCC"/>
      </patternFill>
    </fill>
  </fills>
  <borders count="7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/>
  </cellStyleXfs>
  <cellXfs count="42">
    <xf xfId="0" fontId="0" numFmtId="0" fillId="0" borderId="0" applyFont="0" applyNumberFormat="0" applyFill="0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1" applyFont="0" applyNumberFormat="0" applyFill="1" applyBorder="1" applyAlignment="0" applyProtection="true"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49" fillId="2" borderId="2" applyFont="0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3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vertical="center" textRotation="0" wrapText="false" shrinkToFit="false"/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bottom" textRotation="0" wrapText="false" shrinkToFit="false"/>
      <protection locked="true" hidden="false"/>
    </xf>
    <xf xfId="0" fontId="2" numFmtId="0" fillId="2" borderId="2" applyFont="1" applyNumberFormat="0" applyFill="1" applyBorder="1" applyAlignment="1" applyProtection="true">
      <alignment horizontal="right" vertical="center" textRotation="0" wrapText="false" shrinkToFit="false"/>
      <protection locked="true" hidden="false"/>
    </xf>
    <xf xfId="0" fontId="2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0" applyFont="1" applyNumberFormat="0" applyFill="1" applyBorder="0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1" numFmtId="0" fillId="2" borderId="3" applyFont="1" applyNumberFormat="0" applyFill="1" applyBorder="1" applyAlignment="0" applyProtection="true">
      <protection locked="true" hidden="false"/>
    </xf>
    <xf xfId="0" fontId="2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3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1" applyProtection="true">
      <alignment horizontal="left" vertical="center" textRotation="0" wrapText="false" shrinkToFit="false"/>
      <protection locked="true" hidden="false"/>
    </xf>
    <xf xfId="0" fontId="2" numFmtId="0" fillId="2" borderId="1" applyFont="1" applyNumberFormat="0" applyFill="1" applyBorder="1" applyAlignment="1" applyProtection="true">
      <alignment horizontal="left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0" numFmtId="0" fillId="2" borderId="6" applyFont="0" applyNumberFormat="0" applyFill="1" applyBorder="1" applyAlignment="0" applyProtection="true">
      <protection locked="true" hidden="false"/>
    </xf>
    <xf xfId="0" fontId="1" numFmtId="0" fillId="2" borderId="6" applyFont="1" applyNumberFormat="0" applyFill="1" applyBorder="1" applyAlignment="0" applyProtection="true">
      <protection locked="true" hidden="false"/>
    </xf>
    <xf xfId="0" fontId="0" numFmtId="0" fillId="2" borderId="5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4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</cellXfs>
  <cellStyles count="1">
    <cellStyle name="Normal" xfId="0" builtinId="0"/>
  </cellStyles>
  <dxfs count="43"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8DB4E3"/>
        </patternFill>
      </fill>
      <border/>
    </dxf>
    <dxf>
      <fill>
        <patternFill patternType="solid">
          <bgColor rgb="FFB3A2C7"/>
        </patternFill>
      </fill>
      <border/>
    </dxf>
  </dxfs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microsoft.com/office/2006/relationships/vbaProject" Target="vbaProject.bin"/>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drawings/_rels/vmlDrawing1.vml.rels><?xml version="1.0" encoding="UTF-8" standalone="yes"?>
<Relationships xmlns="http://schemas.openxmlformats.org/package/2006/relationships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7" descr="Экспорт данных для A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AE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8" descr="Экспорт данных для диктора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9" descr="Экспорт данных для НБ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НБ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10" descr="Экспорт данных для диктора (после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(послезавтра)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17" descr="Экспортировать все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Экспортировать все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19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20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22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23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name="Office Them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_comments_vml1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Worksheet">
    <outlinePr summaryBelow="1" summaryRight="1"/>
    <pageSetUpPr fitToPage="1"/>
  </sheetPr>
  <dimension ref="A1:FC45"/>
  <sheetViews>
    <sheetView tabSelected="1" workbookViewId="0" zoomScale="70" zoomScaleNormal="70" showGridLines="true" showRowColHeaders="1" topLeftCell="A1">
      <selection activeCell="Z45" sqref="Z45"/>
    </sheetView>
  </sheetViews>
  <sheetFormatPr defaultRowHeight="14.4" defaultColWidth="1.70703125" outlineLevelRow="0" outlineLevelCol="0"/>
  <cols>
    <col min="1" max="1" width="1.71" customWidth="true" style="1"/>
    <col min="2" max="2" width="1.71" customWidth="true" style="1"/>
    <col min="3" max="3" width="1.71" customWidth="true" style="1"/>
    <col min="4" max="4" width="1.71" customWidth="true" style="1"/>
    <col min="5" max="5" width="1.71" customWidth="true" style="1"/>
    <col min="6" max="6" width="1.71" customWidth="true" style="1"/>
    <col min="7" max="7" width="1.71" customWidth="true" style="1"/>
    <col min="8" max="8" width="1.71" customWidth="true" style="1"/>
    <col min="9" max="9" width="1.71" customWidth="true" style="1"/>
    <col min="10" max="10" width="1.71" customWidth="true" style="1"/>
    <col min="11" max="11" width="1.71" customWidth="true" style="1"/>
    <col min="12" max="12" width="1.71" customWidth="true" style="1"/>
    <col min="13" max="13" width="1.71" customWidth="true" style="1"/>
    <col min="14" max="14" width="1.71" customWidth="true" style="1"/>
    <col min="15" max="15" width="1.71" customWidth="true" style="1"/>
    <col min="16" max="16" width="1.71" customWidth="true" style="1"/>
    <col min="17" max="17" width="1.71" customWidth="true" style="1"/>
    <col min="18" max="18" width="1.71" customWidth="true" style="1"/>
    <col min="19" max="19" width="1.71" customWidth="true" style="1"/>
    <col min="20" max="20" width="1.71" customWidth="true" style="1"/>
    <col min="21" max="21" width="1.71" customWidth="true" style="1"/>
    <col min="22" max="22" width="1.71" customWidth="true" style="1"/>
    <col min="23" max="23" width="1.71" customWidth="true" style="1"/>
    <col min="24" max="24" width="1.71" customWidth="true" style="1"/>
    <col min="25" max="25" width="1.71" customWidth="true" style="1"/>
    <col min="26" max="26" width="1.71" customWidth="true" style="1"/>
    <col min="27" max="27" width="1.71" customWidth="true" style="1"/>
    <col min="28" max="28" width="1.71" customWidth="true" style="1"/>
    <col min="29" max="29" width="1.71" customWidth="true" style="1"/>
    <col min="30" max="30" width="1.71" customWidth="true" style="1"/>
    <col min="31" max="31" width="1.71" customWidth="true" style="1"/>
    <col min="32" max="32" width="1.71" customWidth="true" style="1"/>
    <col min="33" max="33" width="1.71" customWidth="true" style="1"/>
    <col min="34" max="34" width="1.71" customWidth="true" style="1"/>
    <col min="35" max="35" width="1.71" customWidth="true" style="1"/>
    <col min="36" max="36" width="1.71" customWidth="true" style="1"/>
    <col min="37" max="37" width="1.71" customWidth="true" style="1"/>
    <col min="38" max="38" width="1.71" customWidth="true" style="1"/>
    <col min="39" max="39" width="1.71" customWidth="true" style="1"/>
    <col min="40" max="40" width="1.71" customWidth="true" style="1"/>
    <col min="41" max="41" width="1.71" customWidth="true" style="1"/>
    <col min="42" max="42" width="1.71" customWidth="true" style="1"/>
    <col min="43" max="43" width="1.71" customWidth="true" style="1"/>
    <col min="44" max="44" width="1.71" customWidth="true" style="1"/>
    <col min="45" max="45" width="1.71" customWidth="true" style="1"/>
    <col min="46" max="46" width="1.71" customWidth="true" style="1"/>
    <col min="47" max="47" width="1.71" customWidth="true" style="1"/>
    <col min="48" max="48" width="1.71" customWidth="true" style="1"/>
    <col min="49" max="49" width="1.71" customWidth="true" style="1"/>
    <col min="50" max="50" width="1.71" customWidth="true" style="1"/>
    <col min="51" max="51" width="1.71" customWidth="true" style="1"/>
    <col min="52" max="52" width="1.71" customWidth="true" style="1"/>
    <col min="53" max="53" width="1.71" customWidth="true" style="1"/>
    <col min="54" max="54" width="1.71" customWidth="true" style="1"/>
    <col min="55" max="55" width="1.71" customWidth="true" style="1"/>
    <col min="56" max="56" width="1.71" customWidth="true" style="1"/>
    <col min="57" max="57" width="1.71" customWidth="true" style="1"/>
    <col min="58" max="58" width="1.71" customWidth="true" style="1"/>
    <col min="59" max="59" width="1.71" customWidth="true" style="1"/>
    <col min="60" max="60" width="1.71" customWidth="true" style="1"/>
    <col min="61" max="61" width="1.71" customWidth="true" style="1"/>
    <col min="62" max="62" width="1.71" customWidth="true" style="1"/>
    <col min="63" max="63" width="1.71" customWidth="true" style="1"/>
    <col min="64" max="64" width="1.71" customWidth="true" style="1"/>
    <col min="65" max="65" width="1.71" customWidth="true" style="1"/>
    <col min="66" max="66" width="1.71" customWidth="true" style="1"/>
    <col min="67" max="67" width="1.71" customWidth="true" style="1"/>
    <col min="68" max="68" width="1.71" customWidth="true" style="1"/>
    <col min="69" max="69" width="1.71" customWidth="true" style="1"/>
    <col min="70" max="70" width="1.71" customWidth="true" style="1"/>
    <col min="71" max="71" width="1.71" customWidth="true" style="1"/>
    <col min="72" max="72" width="1.71" customWidth="true" style="2"/>
    <col min="73" max="73" width="1.71" customWidth="true" style="2"/>
    <col min="74" max="74" width="1.71" customWidth="true" style="1"/>
  </cols>
  <sheetData>
    <row r="1" spans="1:159" customHeight="1" ht="12.7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4"/>
      <c r="BU1" s="4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DW1" s="5"/>
    </row>
    <row r="2" spans="1:159" customHeight="1" ht="24.75">
      <c r="B2" s="3"/>
      <c r="C2" s="6" t="s">
        <v>0</v>
      </c>
      <c r="D2" s="6"/>
      <c r="E2" s="6"/>
      <c r="F2" s="6"/>
      <c r="G2" s="6"/>
      <c r="H2" s="6"/>
      <c r="I2" s="6"/>
      <c r="J2" s="6"/>
      <c r="K2" s="6"/>
      <c r="L2" s="7" t="s">
        <v>1</v>
      </c>
      <c r="M2" s="7"/>
      <c r="N2" s="7"/>
      <c r="O2" s="7"/>
      <c r="P2" s="7"/>
      <c r="Q2" s="7"/>
      <c r="R2" s="7"/>
      <c r="S2" s="7"/>
      <c r="T2" s="7"/>
      <c r="U2" s="7"/>
      <c r="W2" s="8" t="e">
        <f>UPPER(Service2!C9)</f>
        <v>#REF!</v>
      </c>
      <c r="X2" s="8"/>
      <c r="Y2" s="8"/>
      <c r="Z2" s="8"/>
      <c r="AA2" s="8"/>
      <c r="AB2" s="8"/>
      <c r="AC2" s="8"/>
      <c r="AD2" s="8"/>
      <c r="AE2" s="8"/>
      <c r="AF2" s="9"/>
      <c r="AG2" s="8" t="e">
        <f>Service2!C13</f>
        <v>#REF!</v>
      </c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3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6" t="s">
        <v>2</v>
      </c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W2" s="5"/>
    </row>
    <row r="3" spans="1:159" customHeight="1" ht="1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4"/>
      <c r="BU3" s="4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DW3" s="5"/>
    </row>
    <row r="4" spans="1:159" customHeight="1" ht="1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T4" s="11" t="s">
        <v>3</v>
      </c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4"/>
      <c r="BU4" s="4"/>
      <c r="BV4" s="11" t="s">
        <v>4</v>
      </c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W4" s="5"/>
    </row>
    <row r="5" spans="1:159" customHeight="1" ht="1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T5" s="6" t="s">
        <v>5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 t="s">
        <v>6</v>
      </c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11" t="s">
        <v>7</v>
      </c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4"/>
      <c r="BU5" s="4"/>
      <c r="BV5" s="6" t="s">
        <v>5</v>
      </c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 t="s">
        <v>6</v>
      </c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11" t="s">
        <v>7</v>
      </c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W5" s="5"/>
    </row>
    <row r="6" spans="1:159" customHeight="1" ht="24.75">
      <c r="B6" s="3"/>
      <c r="C6" s="12" t="s">
        <v>8</v>
      </c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39" t="s">
        <v>9</v>
      </c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38" t="s">
        <v>10</v>
      </c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37" t="s">
        <v>11</v>
      </c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6"/>
      <c r="BU6" s="16"/>
      <c r="BV6" s="39" t="s">
        <v>9</v>
      </c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4" t="s">
        <v>12</v>
      </c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5">
        <v>758</v>
      </c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W6" s="5"/>
    </row>
    <row r="7" spans="1:159" customHeight="1" ht="15">
      <c r="B7" s="3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8"/>
      <c r="P7" s="18"/>
      <c r="Q7" s="18"/>
      <c r="R7" s="18"/>
      <c r="S7" s="18"/>
      <c r="T7" s="11" t="s">
        <v>13</v>
      </c>
      <c r="U7" s="11"/>
      <c r="V7" s="11"/>
      <c r="W7" s="11"/>
      <c r="X7" s="11"/>
      <c r="Y7" s="11"/>
      <c r="Z7" s="11" t="s">
        <v>14</v>
      </c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 t="s">
        <v>15</v>
      </c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9"/>
      <c r="BV7" s="11" t="s">
        <v>13</v>
      </c>
      <c r="BW7" s="11"/>
      <c r="BX7" s="11"/>
      <c r="BY7" s="11"/>
      <c r="BZ7" s="11"/>
      <c r="CA7" s="11"/>
      <c r="CB7" s="11" t="s">
        <v>14</v>
      </c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 t="s">
        <v>15</v>
      </c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3"/>
      <c r="DW7" s="5"/>
      <c r="DX7" s="3"/>
      <c r="DY7" s="3"/>
      <c r="DZ7" s="3"/>
      <c r="EA7" s="3"/>
      <c r="EB7" s="3"/>
      <c r="EC7" s="3"/>
      <c r="ED7" s="3"/>
    </row>
    <row r="8" spans="1:159" customHeight="1" ht="24.75">
      <c r="B8" s="3"/>
      <c r="C8" s="12" t="s">
        <v>8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36" t="s">
        <v>16</v>
      </c>
      <c r="U8" s="20"/>
      <c r="V8" s="20"/>
      <c r="W8" s="20"/>
      <c r="X8" s="20"/>
      <c r="Y8" s="20"/>
      <c r="Z8" s="41" t="s">
        <v>17</v>
      </c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40" t="s">
        <v>18</v>
      </c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3" t="b">
        <f>OR(AND(Z8=Service1!$C$46,AW8=Service1!$C$56),AND(AW8&lt;&gt;"0",Z8&lt;&gt;Service1!$C$46))</f>
        <v>1</v>
      </c>
      <c r="BU8" s="24" t="b">
        <f>OR(AND(CB8=Service1!$C$46,CY8=Service1!$C$56),AND(CY8&gt;"0",CB8&lt;&gt;Service1!$C$46))</f>
        <v>1</v>
      </c>
      <c r="BV8" s="36" t="s">
        <v>19</v>
      </c>
      <c r="BW8" s="20"/>
      <c r="BX8" s="20"/>
      <c r="BY8" s="20"/>
      <c r="BZ8" s="20"/>
      <c r="CA8" s="20"/>
      <c r="CB8" s="22" t="s">
        <v>20</v>
      </c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 t="s">
        <v>21</v>
      </c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5"/>
      <c r="DW8" s="26"/>
      <c r="DX8" s="25"/>
      <c r="DY8" s="25"/>
      <c r="DZ8" s="27"/>
      <c r="EA8" s="27"/>
      <c r="EB8" s="27"/>
      <c r="EC8" s="27"/>
      <c r="ED8" s="27"/>
      <c r="EE8" s="28"/>
      <c r="EF8" s="28"/>
      <c r="EG8" s="28"/>
    </row>
    <row r="9" spans="1:159" customHeight="1" ht="24.75">
      <c r="B9" s="3"/>
      <c r="C9" s="12" t="s">
        <v>22</v>
      </c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36" t="s">
        <v>23</v>
      </c>
      <c r="U9" s="20"/>
      <c r="V9" s="20"/>
      <c r="W9" s="20"/>
      <c r="X9" s="20"/>
      <c r="Y9" s="20"/>
      <c r="Z9" s="41" t="s">
        <v>24</v>
      </c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40" t="s">
        <v>18</v>
      </c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3" t="b">
        <f>OR(AND(Z9=Service1!$C$46,AW9=Service1!$C$56),AND(AW9&lt;&gt;"0",Z9&lt;&gt;Service1!$C$46))</f>
        <v>1</v>
      </c>
      <c r="BU9" s="24" t="b">
        <f>OR(AND(CB9=Service1!$C$46,CY9=Service1!$C$56),AND(CY9&gt;"0",CB9&lt;&gt;Service1!$C$46))</f>
        <v>1</v>
      </c>
      <c r="BV9" s="36" t="s">
        <v>23</v>
      </c>
      <c r="BW9" s="20"/>
      <c r="BX9" s="20"/>
      <c r="BY9" s="20"/>
      <c r="BZ9" s="20"/>
      <c r="CA9" s="20"/>
      <c r="CB9" s="22" t="s">
        <v>25</v>
      </c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 t="s">
        <v>21</v>
      </c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5"/>
      <c r="DW9" s="26"/>
      <c r="DX9" s="25"/>
      <c r="DY9" s="25"/>
      <c r="DZ9" s="27"/>
      <c r="EA9" s="27"/>
      <c r="EB9" s="27"/>
      <c r="EC9" s="27"/>
      <c r="ED9" s="27"/>
      <c r="EE9" s="28"/>
      <c r="EF9" s="28"/>
      <c r="EG9" s="28"/>
    </row>
    <row r="10" spans="1:159" customHeight="1" ht="24.75">
      <c r="B10" s="3"/>
      <c r="C10" s="12" t="s">
        <v>26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36" t="s">
        <v>16</v>
      </c>
      <c r="U10" s="20"/>
      <c r="V10" s="20"/>
      <c r="W10" s="20"/>
      <c r="X10" s="20"/>
      <c r="Y10" s="20"/>
      <c r="Z10" s="41" t="s">
        <v>24</v>
      </c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40" t="s">
        <v>21</v>
      </c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3" t="b">
        <f>OR(AND(Z10=Service1!$C$46,AW10=Service1!$C$56),AND(AW10&lt;&gt;"0",Z10&lt;&gt;Service1!$C$46))</f>
        <v>1</v>
      </c>
      <c r="BU10" s="24" t="b">
        <f>OR(AND(CB10=Service1!$C$46,CY10=Service1!$C$56),AND(CY10&gt;"0",CB10&lt;&gt;Service1!$C$46))</f>
        <v>1</v>
      </c>
      <c r="BV10" s="36" t="s">
        <v>23</v>
      </c>
      <c r="BW10" s="20"/>
      <c r="BX10" s="20"/>
      <c r="BY10" s="20"/>
      <c r="BZ10" s="20"/>
      <c r="CA10" s="20"/>
      <c r="CB10" s="22" t="s">
        <v>25</v>
      </c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 t="s">
        <v>21</v>
      </c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5"/>
      <c r="DW10" s="26"/>
      <c r="DX10" s="25"/>
      <c r="DY10" s="25"/>
      <c r="DZ10" s="27"/>
      <c r="EA10" s="27"/>
      <c r="EB10" s="27"/>
      <c r="EC10" s="27"/>
      <c r="ED10" s="27"/>
      <c r="EE10" s="28"/>
      <c r="EF10" s="28"/>
      <c r="EG10" s="28"/>
    </row>
    <row r="11" spans="1:159" customHeight="1" ht="24.75">
      <c r="B11" s="3"/>
      <c r="C11" s="12" t="s">
        <v>27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36" t="s">
        <v>16</v>
      </c>
      <c r="U11" s="20"/>
      <c r="V11" s="20"/>
      <c r="W11" s="20"/>
      <c r="X11" s="20"/>
      <c r="Y11" s="20"/>
      <c r="Z11" s="41" t="s">
        <v>24</v>
      </c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40" t="s">
        <v>21</v>
      </c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3" t="b">
        <f>OR(AND(Z11=Service1!$C$46,AW11=Service1!$C$56),AND(AW11&lt;&gt;"0",Z11&lt;&gt;Service1!$C$46))</f>
        <v>1</v>
      </c>
      <c r="BU11" s="24" t="b">
        <f>OR(AND(CB11=Service1!$C$46,CY11=Service1!$C$56),AND(CY11&gt;"0",CB11&lt;&gt;Service1!$C$46))</f>
        <v>1</v>
      </c>
      <c r="BV11" s="36" t="s">
        <v>23</v>
      </c>
      <c r="BW11" s="20"/>
      <c r="BX11" s="20"/>
      <c r="BY11" s="20"/>
      <c r="BZ11" s="20"/>
      <c r="CA11" s="20"/>
      <c r="CB11" s="22" t="s">
        <v>20</v>
      </c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 t="s">
        <v>21</v>
      </c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5"/>
      <c r="DW11" s="26"/>
      <c r="DX11" s="25"/>
      <c r="DY11" s="25"/>
      <c r="DZ11" s="27"/>
      <c r="EA11" s="27"/>
      <c r="EB11" s="27"/>
      <c r="EC11" s="27"/>
      <c r="ED11" s="27"/>
      <c r="EE11" s="28"/>
      <c r="EF11" s="28"/>
      <c r="EG11" s="28"/>
    </row>
    <row r="12" spans="1:159" customHeight="1" ht="24.75">
      <c r="B12" s="3"/>
      <c r="C12" s="12" t="s">
        <v>28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36" t="s">
        <v>16</v>
      </c>
      <c r="U12" s="20"/>
      <c r="V12" s="20"/>
      <c r="W12" s="20"/>
      <c r="X12" s="20"/>
      <c r="Y12" s="20"/>
      <c r="Z12" s="41" t="s">
        <v>24</v>
      </c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40" t="s">
        <v>21</v>
      </c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3" t="b">
        <f>OR(AND(Z12=Service1!$C$46,AW12=Service1!$C$56),AND(AW12&lt;&gt;"0",Z12&lt;&gt;Service1!$C$46))</f>
        <v>1</v>
      </c>
      <c r="BU12" s="24" t="b">
        <f>OR(AND(CB12=Service1!$C$46,CY12=Service1!$C$56),AND(CY12&gt;"0",CB12&lt;&gt;Service1!$C$46))</f>
        <v>1</v>
      </c>
      <c r="BV12" s="36" t="s">
        <v>23</v>
      </c>
      <c r="BW12" s="20"/>
      <c r="BX12" s="20"/>
      <c r="BY12" s="20"/>
      <c r="BZ12" s="20"/>
      <c r="CA12" s="20"/>
      <c r="CB12" s="22" t="s">
        <v>25</v>
      </c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 t="s">
        <v>21</v>
      </c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5"/>
      <c r="DW12" s="26"/>
      <c r="DX12" s="25"/>
      <c r="DY12" s="25"/>
      <c r="DZ12" s="27"/>
      <c r="EA12" s="27"/>
      <c r="EB12" s="27"/>
      <c r="EC12" s="27"/>
      <c r="ED12" s="27"/>
      <c r="EE12" s="28"/>
      <c r="EF12" s="28"/>
      <c r="EG12" s="28"/>
    </row>
    <row r="13" spans="1:159" customHeight="1" ht="24.75">
      <c r="B13" s="3"/>
      <c r="C13" s="12" t="s">
        <v>29</v>
      </c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36" t="s">
        <v>16</v>
      </c>
      <c r="U13" s="20"/>
      <c r="V13" s="20"/>
      <c r="W13" s="20"/>
      <c r="X13" s="20"/>
      <c r="Y13" s="20"/>
      <c r="Z13" s="41" t="s">
        <v>24</v>
      </c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40" t="s">
        <v>21</v>
      </c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3" t="b">
        <f>OR(AND(Z13=Service1!$C$46,AW13=Service1!$C$56),AND(AW13&lt;&gt;"0",Z13&lt;&gt;Service1!$C$46))</f>
        <v>1</v>
      </c>
      <c r="BU13" s="24" t="b">
        <f>OR(AND(CB13=Service1!$C$46,CY13=Service1!$C$56),AND(CY13&gt;"0",CB13&lt;&gt;Service1!$C$46))</f>
        <v>1</v>
      </c>
      <c r="BV13" s="36" t="s">
        <v>23</v>
      </c>
      <c r="BW13" s="20"/>
      <c r="BX13" s="20"/>
      <c r="BY13" s="20"/>
      <c r="BZ13" s="20"/>
      <c r="CA13" s="20"/>
      <c r="CB13" s="22" t="s">
        <v>20</v>
      </c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 t="s">
        <v>21</v>
      </c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5"/>
      <c r="DW13" s="26"/>
      <c r="DX13" s="25"/>
      <c r="DY13" s="25"/>
      <c r="DZ13" s="27"/>
      <c r="EA13" s="27"/>
      <c r="EB13" s="27"/>
      <c r="EC13" s="27"/>
      <c r="ED13" s="27"/>
      <c r="EE13" s="28"/>
      <c r="EF13" s="28"/>
      <c r="EG13" s="28"/>
    </row>
    <row r="14" spans="1:159" customHeight="1" ht="24.75">
      <c r="B14" s="3"/>
      <c r="C14" s="12" t="s">
        <v>30</v>
      </c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36" t="s">
        <v>16</v>
      </c>
      <c r="U14" s="20"/>
      <c r="V14" s="20"/>
      <c r="W14" s="20"/>
      <c r="X14" s="20"/>
      <c r="Y14" s="20"/>
      <c r="Z14" s="41" t="s">
        <v>24</v>
      </c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40" t="s">
        <v>18</v>
      </c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3" t="b">
        <f>OR(AND(Z14=Service1!$C$46,AW14=Service1!$C$56),AND(AW14&lt;&gt;"0",Z14&lt;&gt;Service1!$C$46))</f>
        <v>1</v>
      </c>
      <c r="BU14" s="29">
        <v>1</v>
      </c>
      <c r="BV14" s="36" t="s">
        <v>23</v>
      </c>
      <c r="BW14" s="20"/>
      <c r="BX14" s="20"/>
      <c r="BY14" s="20"/>
      <c r="BZ14" s="20"/>
      <c r="CA14" s="20"/>
      <c r="CB14" s="22" t="s">
        <v>25</v>
      </c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 t="s">
        <v>21</v>
      </c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5"/>
      <c r="DW14" s="26"/>
      <c r="DX14" s="25"/>
      <c r="DY14" s="25"/>
      <c r="DZ14" s="27"/>
      <c r="EA14" s="27"/>
      <c r="EB14" s="27"/>
      <c r="EC14" s="27"/>
      <c r="ED14" s="27"/>
      <c r="EE14" s="28"/>
      <c r="EF14" s="28"/>
      <c r="EG14" s="28"/>
    </row>
    <row r="15" spans="1:159" customHeight="1" ht="24.75">
      <c r="B15" s="3"/>
      <c r="C15" s="12" t="s">
        <v>31</v>
      </c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36" t="s">
        <v>16</v>
      </c>
      <c r="U15" s="20"/>
      <c r="V15" s="20"/>
      <c r="W15" s="20"/>
      <c r="X15" s="20"/>
      <c r="Y15" s="20"/>
      <c r="Z15" s="41" t="s">
        <v>24</v>
      </c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40" t="s">
        <v>21</v>
      </c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3" t="b">
        <f>OR(AND(Z15=Service1!$C$46,AW15=Service1!$C$56),AND(AW15&lt;&gt;"0",Z15&lt;&gt;Service1!$C$46))</f>
        <v>1</v>
      </c>
      <c r="BU15" s="24" t="b">
        <f>OR(AND(CB15=Service1!$C$46,CY15=Service1!$C$56),AND(CY15&gt;"0",CB15&lt;&gt;Service1!$C$46))</f>
        <v>1</v>
      </c>
      <c r="BV15" s="36" t="s">
        <v>23</v>
      </c>
      <c r="BW15" s="20"/>
      <c r="BX15" s="20"/>
      <c r="BY15" s="20"/>
      <c r="BZ15" s="20"/>
      <c r="CA15" s="20"/>
      <c r="CB15" s="22" t="s">
        <v>20</v>
      </c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 t="s">
        <v>21</v>
      </c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5"/>
      <c r="DW15" s="26"/>
      <c r="DX15" s="25"/>
      <c r="DY15" s="25"/>
      <c r="DZ15" s="27"/>
      <c r="EA15" s="27"/>
    </row>
    <row r="16" spans="1:159" customHeight="1" ht="24.75">
      <c r="B16" s="3"/>
      <c r="C16" s="12" t="s">
        <v>32</v>
      </c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36" t="s">
        <v>16</v>
      </c>
      <c r="U16" s="20"/>
      <c r="V16" s="20"/>
      <c r="W16" s="20"/>
      <c r="X16" s="20"/>
      <c r="Y16" s="20"/>
      <c r="Z16" s="41" t="s">
        <v>24</v>
      </c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40" t="s">
        <v>21</v>
      </c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3" t="b">
        <f>OR(AND(Z16=Service1!$C$46,AW16=Service1!$C$56),AND(AW16&lt;&gt;"0",Z16&lt;&gt;Service1!$C$46))</f>
        <v>1</v>
      </c>
      <c r="BU16" s="24" t="b">
        <f>OR(AND(CB16=Service1!$C$46,CY16=Service1!$C$56),AND(CY16&gt;"0",CB16&lt;&gt;Service1!$C$46))</f>
        <v>1</v>
      </c>
      <c r="BV16" s="36" t="s">
        <v>19</v>
      </c>
      <c r="BW16" s="20"/>
      <c r="BX16" s="20"/>
      <c r="BY16" s="20"/>
      <c r="BZ16" s="20"/>
      <c r="CA16" s="20"/>
      <c r="CB16" s="22" t="s">
        <v>33</v>
      </c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 t="s">
        <v>21</v>
      </c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5"/>
      <c r="DW16" s="26"/>
      <c r="DX16" s="25"/>
      <c r="DY16" s="25"/>
      <c r="DZ16" s="27"/>
      <c r="EA16" s="27"/>
      <c r="EB16" s="27"/>
      <c r="EC16" s="27"/>
      <c r="ED16" s="27"/>
      <c r="EE16" s="28"/>
      <c r="EF16" s="28"/>
      <c r="EG16" s="28"/>
    </row>
    <row r="17" spans="1:159" customHeight="1" ht="24.75">
      <c r="B17" s="3"/>
      <c r="C17" s="12" t="s">
        <v>34</v>
      </c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36" t="s">
        <v>16</v>
      </c>
      <c r="U17" s="20"/>
      <c r="V17" s="20"/>
      <c r="W17" s="20"/>
      <c r="X17" s="20"/>
      <c r="Y17" s="20"/>
      <c r="Z17" s="41" t="s">
        <v>24</v>
      </c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40" t="s">
        <v>18</v>
      </c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3" t="b">
        <f>OR(AND(Z17=Service1!$C$46,AW17=Service1!$C$56),AND(AW17&lt;&gt;"0",Z17&lt;&gt;Service1!$C$46))</f>
        <v>1</v>
      </c>
      <c r="BU17" s="24" t="b">
        <f>OR(AND(CB17=Service1!$C$46,CY17=Service1!$C$56),AND(CY17&gt;"0",CB17&lt;&gt;Service1!$C$46))</f>
        <v>1</v>
      </c>
      <c r="BV17" s="36" t="s">
        <v>23</v>
      </c>
      <c r="BW17" s="20"/>
      <c r="BX17" s="20"/>
      <c r="BY17" s="20"/>
      <c r="BZ17" s="20"/>
      <c r="CA17" s="20"/>
      <c r="CB17" s="22" t="s">
        <v>20</v>
      </c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 t="s">
        <v>21</v>
      </c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5"/>
      <c r="DW17" s="26"/>
      <c r="DX17" s="25"/>
      <c r="DY17" s="25"/>
      <c r="DZ17" s="27"/>
      <c r="EA17" s="27"/>
      <c r="EB17" s="27"/>
      <c r="EC17" s="27"/>
      <c r="ED17" s="27"/>
      <c r="EE17" s="28"/>
      <c r="EF17" s="28"/>
      <c r="EG17" s="28"/>
    </row>
    <row r="18" spans="1:159" customHeight="1" ht="24.75">
      <c r="B18" s="3"/>
      <c r="C18" s="12" t="s">
        <v>35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36" t="s">
        <v>16</v>
      </c>
      <c r="U18" s="20"/>
      <c r="V18" s="20"/>
      <c r="W18" s="20"/>
      <c r="X18" s="20"/>
      <c r="Y18" s="20"/>
      <c r="Z18" s="41" t="s">
        <v>24</v>
      </c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40" t="s">
        <v>21</v>
      </c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3" t="b">
        <f>OR(AND(Z18=Service1!$C$46,AW18=Service1!$C$56),AND(AW18&lt;&gt;"0",Z18&lt;&gt;Service1!$C$46))</f>
        <v>1</v>
      </c>
      <c r="BU18" s="24" t="b">
        <f>OR(AND(CB18=Service1!$C$46,CY18=Service1!$C$56),AND(CY18&gt;"0",CB18&lt;&gt;Service1!$C$46))</f>
        <v>1</v>
      </c>
      <c r="BV18" s="36" t="s">
        <v>19</v>
      </c>
      <c r="BW18" s="20"/>
      <c r="BX18" s="20"/>
      <c r="BY18" s="20"/>
      <c r="BZ18" s="20"/>
      <c r="CA18" s="20"/>
      <c r="CB18" s="22" t="s">
        <v>20</v>
      </c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 t="s">
        <v>21</v>
      </c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5"/>
      <c r="DW18" s="26"/>
      <c r="DX18" s="25"/>
      <c r="DY18" s="25"/>
      <c r="DZ18" s="27"/>
      <c r="EA18" s="27"/>
      <c r="EB18" s="27"/>
      <c r="EC18" s="27"/>
      <c r="ED18" s="27"/>
      <c r="EE18" s="28"/>
      <c r="EF18" s="28"/>
      <c r="EG18" s="28"/>
    </row>
    <row r="19" spans="1:159" customHeight="1" ht="24.75">
      <c r="B19" s="3"/>
      <c r="C19" s="12" t="s">
        <v>36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36" t="s">
        <v>16</v>
      </c>
      <c r="U19" s="20"/>
      <c r="V19" s="20"/>
      <c r="W19" s="20"/>
      <c r="X19" s="20"/>
      <c r="Y19" s="20"/>
      <c r="Z19" s="40" t="s">
        <v>24</v>
      </c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40" t="s">
        <v>18</v>
      </c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3" t="b">
        <f>OR(AND(Z19=Service1!$C$46,AW19=Service1!$C$56),AND(AW19&lt;&gt;"0",Z19&lt;&gt;Service1!$C$46))</f>
        <v>1</v>
      </c>
      <c r="BU19" s="24" t="b">
        <f>OR(AND(CB19=Service1!$C$46,CY19=Service1!$C$56),AND(CY19&gt;"0",CB19&lt;&gt;Service1!$C$46))</f>
        <v>1</v>
      </c>
      <c r="BV19" s="36" t="s">
        <v>23</v>
      </c>
      <c r="BW19" s="20"/>
      <c r="BX19" s="20"/>
      <c r="BY19" s="20"/>
      <c r="BZ19" s="20"/>
      <c r="CA19" s="20"/>
      <c r="CB19" s="22" t="s">
        <v>33</v>
      </c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 t="s">
        <v>21</v>
      </c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5"/>
      <c r="DW19" s="26"/>
      <c r="DX19" s="25"/>
      <c r="DY19" s="25"/>
      <c r="DZ19" s="27"/>
      <c r="EA19" s="27"/>
      <c r="EB19" s="27"/>
      <c r="EC19" s="27"/>
      <c r="ED19" s="27"/>
      <c r="EE19" s="28"/>
      <c r="EF19" s="28"/>
      <c r="EG19" s="28"/>
    </row>
    <row r="20" spans="1:159" customHeight="1" ht="24.75">
      <c r="B20" s="3"/>
      <c r="C20" s="12" t="s">
        <v>37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36" t="s">
        <v>16</v>
      </c>
      <c r="U20" s="20"/>
      <c r="V20" s="20"/>
      <c r="W20" s="20"/>
      <c r="X20" s="20"/>
      <c r="Y20" s="20"/>
      <c r="Z20" s="40" t="s">
        <v>24</v>
      </c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40" t="s">
        <v>18</v>
      </c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3" t="b">
        <f>OR(AND(Z20=Service1!$C$46,AW20=Service1!$C$56),AND(AW20&lt;&gt;"0",Z20&lt;&gt;Service1!$C$46))</f>
        <v>1</v>
      </c>
      <c r="BU20" s="24" t="b">
        <f>OR(AND(CB20=Service1!$C$46,CY20=Service1!$C$56),AND(CY20&gt;"0",CB20&lt;&gt;Service1!$C$46))</f>
        <v>1</v>
      </c>
      <c r="BV20" s="36" t="s">
        <v>23</v>
      </c>
      <c r="BW20" s="20"/>
      <c r="BX20" s="20"/>
      <c r="BY20" s="20"/>
      <c r="BZ20" s="20"/>
      <c r="CA20" s="20"/>
      <c r="CB20" s="22" t="s">
        <v>33</v>
      </c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 t="s">
        <v>21</v>
      </c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5"/>
      <c r="DW20" s="26"/>
      <c r="DX20" s="25"/>
      <c r="DY20" s="25"/>
      <c r="DZ20" s="27"/>
      <c r="EA20" s="27"/>
      <c r="EB20" s="27"/>
      <c r="EC20" s="27"/>
      <c r="ED20" s="27"/>
      <c r="EE20" s="28"/>
      <c r="EF20" s="28"/>
      <c r="EG20" s="28"/>
    </row>
    <row r="21" spans="1:159" customHeight="1" ht="24.75">
      <c r="B21" s="3"/>
      <c r="C21" s="12" t="s">
        <v>38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36" t="s">
        <v>16</v>
      </c>
      <c r="U21" s="20"/>
      <c r="V21" s="20"/>
      <c r="W21" s="20"/>
      <c r="X21" s="20"/>
      <c r="Y21" s="20"/>
      <c r="Z21" s="40" t="s">
        <v>24</v>
      </c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40" t="s">
        <v>18</v>
      </c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3" t="b">
        <f>OR(AND(Z21=Service1!$C$46,AW21=Service1!$C$56),AND(AW21&lt;&gt;"0",Z21&lt;&gt;Service1!$C$46))</f>
        <v>1</v>
      </c>
      <c r="BU21" s="24" t="b">
        <f>OR(AND(CB21=Service1!$C$46,CY21=Service1!$C$56),AND(CY21&gt;"0",CB21&lt;&gt;Service1!$C$46))</f>
        <v>1</v>
      </c>
      <c r="BV21" s="36" t="s">
        <v>19</v>
      </c>
      <c r="BW21" s="20"/>
      <c r="BX21" s="20"/>
      <c r="BY21" s="20"/>
      <c r="BZ21" s="20"/>
      <c r="CA21" s="20"/>
      <c r="CB21" s="22" t="s">
        <v>33</v>
      </c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 t="s">
        <v>21</v>
      </c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5"/>
      <c r="DW21" s="26"/>
      <c r="DX21" s="25"/>
      <c r="DY21" s="25"/>
      <c r="DZ21" s="27"/>
      <c r="EA21" s="27"/>
      <c r="EB21" s="27"/>
      <c r="EC21" s="27"/>
      <c r="ED21" s="27"/>
      <c r="EE21" s="28"/>
      <c r="EF21" s="28"/>
      <c r="EG21" s="28"/>
    </row>
    <row r="22" spans="1:159" customHeight="1" ht="24.75">
      <c r="B22" s="3"/>
      <c r="C22" s="12" t="s">
        <v>39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36" t="s">
        <v>16</v>
      </c>
      <c r="U22" s="20"/>
      <c r="V22" s="20"/>
      <c r="W22" s="20"/>
      <c r="X22" s="20"/>
      <c r="Y22" s="20"/>
      <c r="Z22" s="40" t="s">
        <v>24</v>
      </c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40" t="s">
        <v>18</v>
      </c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3" t="b">
        <f>OR(AND(Z22=Service1!$C$46,AW22=Service1!$C$56),AND(AW22&lt;&gt;"0",Z22&lt;&gt;Service1!$C$46))</f>
        <v>1</v>
      </c>
      <c r="BU22" s="24" t="b">
        <f>OR(AND(CB22=Service1!$C$46,CY22=Service1!$C$56),AND(CY22&gt;"0",CB22&lt;&gt;Service1!$C$46))</f>
        <v>1</v>
      </c>
      <c r="BV22" s="36" t="s">
        <v>19</v>
      </c>
      <c r="BW22" s="20"/>
      <c r="BX22" s="20"/>
      <c r="BY22" s="20"/>
      <c r="BZ22" s="20"/>
      <c r="CA22" s="20"/>
      <c r="CB22" s="22" t="s">
        <v>33</v>
      </c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 t="s">
        <v>21</v>
      </c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5"/>
      <c r="DW22" s="26"/>
      <c r="DX22" s="25"/>
      <c r="DY22" s="25"/>
      <c r="DZ22" s="27"/>
      <c r="EA22" s="27"/>
      <c r="EB22" s="27"/>
      <c r="EC22" s="27"/>
      <c r="ED22" s="27"/>
      <c r="EE22" s="28"/>
      <c r="EF22" s="28"/>
      <c r="EG22" s="28"/>
    </row>
    <row r="23" spans="1:159" customHeight="1" ht="1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4"/>
      <c r="BU23" s="4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DW23" s="5"/>
    </row>
    <row r="24" spans="1:159" customHeight="1" ht="1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  <c r="BO24" s="31"/>
      <c r="BP24" s="31"/>
      <c r="BQ24" s="31"/>
      <c r="BR24" s="31"/>
      <c r="BS24" s="31"/>
      <c r="BT24" s="32"/>
      <c r="BU24" s="32"/>
      <c r="BV24" s="31"/>
      <c r="BW24" s="31"/>
      <c r="BX24" s="31"/>
      <c r="BY24" s="31"/>
      <c r="BZ24" s="31"/>
      <c r="CA24" s="31"/>
      <c r="CB24" s="31"/>
      <c r="CC24" s="31"/>
      <c r="CD24" s="31"/>
      <c r="CE24" s="31"/>
      <c r="CF24" s="31"/>
      <c r="CG24" s="31"/>
      <c r="CH24" s="31"/>
      <c r="CI24" s="31"/>
      <c r="CJ24" s="31"/>
      <c r="CK24" s="31"/>
      <c r="CL24" s="31"/>
      <c r="CM24" s="31"/>
      <c r="CN24" s="31"/>
      <c r="CO24" s="31"/>
      <c r="CP24" s="31"/>
      <c r="CQ24" s="31"/>
      <c r="CR24" s="31"/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/>
      <c r="DD24" s="31"/>
      <c r="DE24" s="31"/>
      <c r="DF24" s="31"/>
      <c r="DG24" s="31"/>
      <c r="DH24" s="31"/>
      <c r="DI24" s="31"/>
      <c r="DJ24" s="31"/>
      <c r="DK24" s="31"/>
      <c r="DL24" s="31"/>
      <c r="DM24" s="31"/>
      <c r="DN24" s="31"/>
      <c r="DO24" s="31"/>
      <c r="DP24" s="31"/>
      <c r="DQ24" s="31"/>
      <c r="DR24" s="31"/>
      <c r="DS24" s="31"/>
      <c r="DT24" s="31"/>
      <c r="DU24" s="31"/>
      <c r="DV24" s="31"/>
      <c r="DW24" s="5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</row>
    <row r="25" spans="1:159" customHeight="1" ht="24.75">
      <c r="C25" s="6" t="s">
        <v>40</v>
      </c>
      <c r="D25" s="6"/>
      <c r="E25" s="6"/>
      <c r="F25" s="6"/>
      <c r="G25" s="6"/>
      <c r="H25" s="6"/>
      <c r="I25" s="6"/>
      <c r="J25" s="6"/>
      <c r="K25" s="6"/>
      <c r="L25" s="7" t="s">
        <v>41</v>
      </c>
      <c r="M25" s="7"/>
      <c r="N25" s="7"/>
      <c r="O25" s="7"/>
      <c r="P25" s="7"/>
      <c r="Q25" s="7"/>
      <c r="R25" s="7"/>
      <c r="S25" s="7"/>
      <c r="T25" s="7"/>
      <c r="U25" s="7"/>
      <c r="W25" s="6" t="e">
        <f>UPPER(Service2!C10)</f>
        <v>#REF!</v>
      </c>
      <c r="X25" s="6"/>
      <c r="Y25" s="6"/>
      <c r="Z25" s="6"/>
      <c r="AA25" s="6"/>
      <c r="AB25" s="6"/>
      <c r="AC25" s="6"/>
      <c r="AD25" s="6"/>
      <c r="AE25" s="6"/>
      <c r="AF25" s="9"/>
      <c r="AG25" s="8" t="e">
        <f>Service2!C14</f>
        <v>#REF!</v>
      </c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3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33"/>
      <c r="BN25" s="6" t="s">
        <v>2</v>
      </c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W25" s="5"/>
    </row>
    <row r="26" spans="1:159" customHeight="1" ht="1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34"/>
      <c r="BU26" s="34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W26" s="5"/>
    </row>
    <row r="27" spans="1:159" customHeight="1" ht="1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T27" s="11" t="s">
        <v>3</v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4"/>
      <c r="BU27" s="4"/>
      <c r="BV27" s="11" t="s">
        <v>4</v>
      </c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W27" s="5"/>
    </row>
    <row r="28" spans="1:159" customHeight="1" ht="1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T28" s="6" t="s">
        <v>5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 t="s">
        <v>6</v>
      </c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11" t="s">
        <v>7</v>
      </c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4"/>
      <c r="BU28" s="4"/>
      <c r="BV28" s="6" t="s">
        <v>5</v>
      </c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 t="s">
        <v>6</v>
      </c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11" t="s">
        <v>7</v>
      </c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W28" s="5"/>
    </row>
    <row r="29" spans="1:159" customHeight="1" ht="24.75">
      <c r="C29" s="12" t="s">
        <v>8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3" t="s">
        <v>42</v>
      </c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4" t="s">
        <v>43</v>
      </c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5">
        <v>754</v>
      </c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6"/>
      <c r="BU29" s="16"/>
      <c r="BV29" s="13" t="s">
        <v>42</v>
      </c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4" t="s">
        <v>43</v>
      </c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5">
        <v>750</v>
      </c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W29" s="5"/>
    </row>
    <row r="30" spans="1:159" customHeight="1" ht="15"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8"/>
      <c r="P30" s="18"/>
      <c r="Q30" s="18"/>
      <c r="R30" s="18"/>
      <c r="S30" s="18"/>
      <c r="T30" s="11" t="s">
        <v>13</v>
      </c>
      <c r="U30" s="11"/>
      <c r="V30" s="11"/>
      <c r="W30" s="11"/>
      <c r="X30" s="11"/>
      <c r="Y30" s="11"/>
      <c r="Z30" s="11" t="s">
        <v>33</v>
      </c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 t="s">
        <v>21</v>
      </c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9"/>
      <c r="BV30" s="11" t="s">
        <v>13</v>
      </c>
      <c r="BW30" s="11"/>
      <c r="BX30" s="11"/>
      <c r="BY30" s="11"/>
      <c r="BZ30" s="11"/>
      <c r="CA30" s="11"/>
      <c r="CB30" s="11" t="s">
        <v>14</v>
      </c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 t="s">
        <v>15</v>
      </c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W30" s="5"/>
    </row>
    <row r="31" spans="1:159" customHeight="1" ht="25.35">
      <c r="C31" s="12" t="s">
        <v>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36" t="s">
        <v>16</v>
      </c>
      <c r="U31" s="20"/>
      <c r="V31" s="20"/>
      <c r="W31" s="20"/>
      <c r="X31" s="20"/>
      <c r="Y31" s="20"/>
      <c r="Z31" s="40" t="s">
        <v>17</v>
      </c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40" t="s">
        <v>18</v>
      </c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3" t="b">
        <f>OR(AND(Z31=Service1!$C$46,AW31=Service1!$C$56),AND(AW31&gt;"0",Z31&lt;&gt;Service1!$C$46))</f>
        <v>1</v>
      </c>
      <c r="BU31" s="35" t="b">
        <f>OR(AND(CB31=Service1!$C$46,CY31=Service1!$C$56),AND(CY31&gt;"0",CB31&lt;&gt;Service1!$C$46))</f>
        <v>1</v>
      </c>
      <c r="BV31" s="36" t="s">
        <v>19</v>
      </c>
      <c r="BW31" s="20"/>
      <c r="BX31" s="20"/>
      <c r="BY31" s="20"/>
      <c r="BZ31" s="20"/>
      <c r="CA31" s="20"/>
      <c r="CB31" s="22" t="s">
        <v>44</v>
      </c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 t="s">
        <v>21</v>
      </c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W31" s="5"/>
    </row>
    <row r="32" spans="1:159" customHeight="1" ht="25.35">
      <c r="C32" s="12" t="s">
        <v>22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36" t="s">
        <v>23</v>
      </c>
      <c r="U32" s="20"/>
      <c r="V32" s="20"/>
      <c r="W32" s="20"/>
      <c r="X32" s="20"/>
      <c r="Y32" s="20"/>
      <c r="Z32" s="40" t="s">
        <v>24</v>
      </c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40" t="s">
        <v>18</v>
      </c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3" t="b">
        <f>OR(AND(Z32=Service1!$C$46,AW32=Service1!$C$56),AND(AW32&gt;"0",Z32&lt;&gt;Service1!$C$46))</f>
        <v>1</v>
      </c>
      <c r="BU32" s="35" t="b">
        <f>OR(AND(CB32=Service1!$C$46,CY32=Service1!$C$56),AND(CY32&gt;"0",CB32&lt;&gt;Service1!$C$46))</f>
        <v>1</v>
      </c>
      <c r="BV32" s="36" t="s">
        <v>23</v>
      </c>
      <c r="BW32" s="20"/>
      <c r="BX32" s="20"/>
      <c r="BY32" s="20"/>
      <c r="BZ32" s="20"/>
      <c r="CA32" s="20"/>
      <c r="CB32" s="22" t="s">
        <v>20</v>
      </c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 t="s">
        <v>21</v>
      </c>
      <c r="CZ32" s="22"/>
      <c r="DA32" s="22"/>
      <c r="DB32" s="22"/>
      <c r="DC32" s="22"/>
      <c r="DD32" s="22"/>
      <c r="DE32" s="22"/>
      <c r="DF32" s="22"/>
      <c r="DG32" s="22"/>
      <c r="DH32" s="22"/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W32" s="5"/>
    </row>
    <row r="33" spans="1:159" customHeight="1" ht="24.75">
      <c r="C33" s="12" t="s">
        <v>26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36" t="s">
        <v>16</v>
      </c>
      <c r="U33" s="20"/>
      <c r="V33" s="20"/>
      <c r="W33" s="20"/>
      <c r="X33" s="20"/>
      <c r="Y33" s="20"/>
      <c r="Z33" s="40" t="s">
        <v>24</v>
      </c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40" t="s">
        <v>21</v>
      </c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3" t="b">
        <f>OR(AND(Z33=Service1!$C$46,AW33=Service1!$C$56),AND(AW33&gt;"0",Z33&lt;&gt;Service1!$C$46))</f>
        <v>1</v>
      </c>
      <c r="BU33" s="35" t="b">
        <f>OR(AND(CB33=Service1!$C$46,CY33=Service1!$C$56),AND(CY33&gt;"0",CB33&lt;&gt;Service1!$C$46))</f>
        <v>1</v>
      </c>
      <c r="BV33" s="36" t="s">
        <v>23</v>
      </c>
      <c r="BW33" s="20"/>
      <c r="BX33" s="20"/>
      <c r="BY33" s="20"/>
      <c r="BZ33" s="20"/>
      <c r="CA33" s="20"/>
      <c r="CB33" s="22" t="s">
        <v>20</v>
      </c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 t="s">
        <v>21</v>
      </c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W33" s="5"/>
    </row>
    <row r="34" spans="1:159" customHeight="1" ht="24.75">
      <c r="C34" s="12" t="s">
        <v>27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36" t="s">
        <v>16</v>
      </c>
      <c r="U34" s="20"/>
      <c r="V34" s="20"/>
      <c r="W34" s="20"/>
      <c r="X34" s="20"/>
      <c r="Y34" s="20"/>
      <c r="Z34" s="40" t="s">
        <v>24</v>
      </c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40" t="s">
        <v>21</v>
      </c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3" t="b">
        <f>OR(AND(Z34=Service1!$C$46,AW34=Service1!$C$56),AND(AW34&gt;"0",Z34&lt;&gt;Service1!$C$46))</f>
        <v>1</v>
      </c>
      <c r="BU34" s="35" t="b">
        <f>OR(AND(CB34=Service1!$C$46,CY34=Service1!$C$56),AND(CY34&gt;"0",CB34&lt;&gt;Service1!$C$46))</f>
        <v>1</v>
      </c>
      <c r="BV34" s="36" t="s">
        <v>23</v>
      </c>
      <c r="BW34" s="20"/>
      <c r="BX34" s="20"/>
      <c r="BY34" s="20"/>
      <c r="BZ34" s="20"/>
      <c r="CA34" s="20"/>
      <c r="CB34" s="22" t="s">
        <v>44</v>
      </c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 t="s">
        <v>21</v>
      </c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W34" s="5"/>
    </row>
    <row r="35" spans="1:159" customHeight="1" ht="24.75">
      <c r="C35" s="12" t="s">
        <v>28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36" t="s">
        <v>16</v>
      </c>
      <c r="U35" s="20"/>
      <c r="V35" s="20"/>
      <c r="W35" s="20"/>
      <c r="X35" s="20"/>
      <c r="Y35" s="20"/>
      <c r="Z35" s="40" t="s">
        <v>24</v>
      </c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40" t="s">
        <v>21</v>
      </c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3" t="b">
        <f>OR(AND(Z35=Service1!$C$46,AW35=Service1!$C$56),AND(AW35&gt;"0",Z35&lt;&gt;Service1!$C$46))</f>
        <v>1</v>
      </c>
      <c r="BU35" s="35" t="b">
        <f>OR(AND(CB35=Service1!$C$46,CY35=Service1!$C$56),AND(CY35&gt;"0",CB35&lt;&gt;Service1!$C$46))</f>
        <v>1</v>
      </c>
      <c r="BV35" s="36" t="s">
        <v>23</v>
      </c>
      <c r="BW35" s="20"/>
      <c r="BX35" s="20"/>
      <c r="BY35" s="20"/>
      <c r="BZ35" s="20"/>
      <c r="CA35" s="20"/>
      <c r="CB35" s="22" t="s">
        <v>20</v>
      </c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 t="s">
        <v>21</v>
      </c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W35" s="5"/>
    </row>
    <row r="36" spans="1:159" customHeight="1" ht="24.75">
      <c r="C36" s="12" t="s">
        <v>29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36" t="s">
        <v>16</v>
      </c>
      <c r="U36" s="20"/>
      <c r="V36" s="20"/>
      <c r="W36" s="20"/>
      <c r="X36" s="20"/>
      <c r="Y36" s="20"/>
      <c r="Z36" s="40" t="s">
        <v>24</v>
      </c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40" t="s">
        <v>21</v>
      </c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3" t="b">
        <f>OR(AND(Z36=Service1!$C$46,AW36=Service1!$C$56),AND(AW36&gt;"0",Z36&lt;&gt;Service1!$C$46))</f>
        <v>1</v>
      </c>
      <c r="BU36" s="35" t="b">
        <f>OR(AND(CB36=Service1!$C$46,CY36=Service1!$C$56),AND(CY36&gt;"0",CB36&lt;&gt;Service1!$C$46))</f>
        <v>1</v>
      </c>
      <c r="BV36" s="36" t="s">
        <v>23</v>
      </c>
      <c r="BW36" s="20"/>
      <c r="BX36" s="20"/>
      <c r="BY36" s="20"/>
      <c r="BZ36" s="20"/>
      <c r="CA36" s="20"/>
      <c r="CB36" s="22" t="s">
        <v>44</v>
      </c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 t="s">
        <v>21</v>
      </c>
      <c r="CZ36" s="22"/>
      <c r="DA36" s="22"/>
      <c r="DB36" s="22"/>
      <c r="DC36" s="22"/>
      <c r="DD36" s="22"/>
      <c r="DE36" s="22"/>
      <c r="DF36" s="22"/>
      <c r="DG36" s="22"/>
      <c r="DH36" s="22"/>
      <c r="DI36" s="22"/>
      <c r="DJ36" s="22"/>
      <c r="DK36" s="22"/>
      <c r="DL36" s="22"/>
      <c r="DM36" s="22"/>
      <c r="DN36" s="22"/>
      <c r="DO36" s="22"/>
      <c r="DP36" s="22"/>
      <c r="DQ36" s="22"/>
      <c r="DR36" s="22"/>
      <c r="DS36" s="22"/>
      <c r="DT36" s="22"/>
      <c r="DU36" s="22"/>
      <c r="DW36" s="5"/>
    </row>
    <row r="37" spans="1:159" customHeight="1" ht="24.75">
      <c r="C37" s="12" t="s">
        <v>30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36" t="s">
        <v>16</v>
      </c>
      <c r="U37" s="20"/>
      <c r="V37" s="20"/>
      <c r="W37" s="20"/>
      <c r="X37" s="20"/>
      <c r="Y37" s="20"/>
      <c r="Z37" s="40" t="s">
        <v>24</v>
      </c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40" t="s">
        <v>18</v>
      </c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3" t="b">
        <f>OR(AND(Z37=Service1!$C$46,AW37=Service1!$C$56),AND(AW37&gt;"0",Z37&lt;&gt;Service1!$C$46))</f>
        <v>1</v>
      </c>
      <c r="BU37" s="35" t="b">
        <f>OR(AND(CB37=Service1!$C$46,CY37=Service1!$C$56),AND(CY37&gt;"0",CB37&lt;&gt;Service1!$C$46))</f>
        <v>1</v>
      </c>
      <c r="BV37" s="36" t="s">
        <v>23</v>
      </c>
      <c r="BW37" s="20"/>
      <c r="BX37" s="20"/>
      <c r="BY37" s="20"/>
      <c r="BZ37" s="20"/>
      <c r="CA37" s="20"/>
      <c r="CB37" s="22" t="s">
        <v>20</v>
      </c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 t="s">
        <v>21</v>
      </c>
      <c r="CZ37" s="22"/>
      <c r="DA37" s="22"/>
      <c r="DB37" s="22"/>
      <c r="DC37" s="22"/>
      <c r="DD37" s="22"/>
      <c r="DE37" s="22"/>
      <c r="DF37" s="22"/>
      <c r="DG37" s="22"/>
      <c r="DH37" s="22"/>
      <c r="DI37" s="22"/>
      <c r="DJ37" s="22"/>
      <c r="DK37" s="22"/>
      <c r="DL37" s="22"/>
      <c r="DM37" s="22"/>
      <c r="DN37" s="22"/>
      <c r="DO37" s="22"/>
      <c r="DP37" s="22"/>
      <c r="DQ37" s="22"/>
      <c r="DR37" s="22"/>
      <c r="DS37" s="22"/>
      <c r="DT37" s="22"/>
      <c r="DU37" s="22"/>
      <c r="DW37" s="5"/>
    </row>
    <row r="38" spans="1:159" customHeight="1" ht="24.75">
      <c r="C38" s="12" t="s">
        <v>31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36" t="s">
        <v>16</v>
      </c>
      <c r="U38" s="20"/>
      <c r="V38" s="20"/>
      <c r="W38" s="20"/>
      <c r="X38" s="20"/>
      <c r="Y38" s="20"/>
      <c r="Z38" s="40" t="s">
        <v>24</v>
      </c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40" t="s">
        <v>21</v>
      </c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3" t="b">
        <f>OR(AND(Z38=Service1!$C$46,AW38=Service1!$C$56),AND(AW38&gt;"0",Z38&lt;&gt;Service1!$C$46))</f>
        <v>1</v>
      </c>
      <c r="BU38" s="35" t="b">
        <f>OR(AND(CB38=Service1!$C$46,CY38=Service1!$C$56),AND(CY38&gt;"0",CB38&lt;&gt;Service1!$C$46))</f>
        <v>1</v>
      </c>
      <c r="BV38" s="36" t="s">
        <v>23</v>
      </c>
      <c r="BW38" s="20"/>
      <c r="BX38" s="20"/>
      <c r="BY38" s="20"/>
      <c r="BZ38" s="20"/>
      <c r="CA38" s="20"/>
      <c r="CB38" s="22" t="s">
        <v>20</v>
      </c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 t="s">
        <v>21</v>
      </c>
      <c r="CZ38" s="22"/>
      <c r="DA38" s="22"/>
      <c r="DB38" s="22"/>
      <c r="DC38" s="22"/>
      <c r="DD38" s="22"/>
      <c r="DE38" s="22"/>
      <c r="DF38" s="22"/>
      <c r="DG38" s="22"/>
      <c r="DH38" s="22"/>
      <c r="DI38" s="22"/>
      <c r="DJ38" s="22"/>
      <c r="DK38" s="22"/>
      <c r="DL38" s="22"/>
      <c r="DM38" s="22"/>
      <c r="DN38" s="22"/>
      <c r="DO38" s="22"/>
      <c r="DP38" s="22"/>
      <c r="DQ38" s="22"/>
      <c r="DR38" s="22"/>
      <c r="DS38" s="22"/>
      <c r="DT38" s="22"/>
      <c r="DU38" s="22"/>
      <c r="DW38" s="5"/>
    </row>
    <row r="39" spans="1:159" customHeight="1" ht="24.75">
      <c r="C39" s="12" t="s">
        <v>32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36" t="s">
        <v>16</v>
      </c>
      <c r="U39" s="20"/>
      <c r="V39" s="20"/>
      <c r="W39" s="20"/>
      <c r="X39" s="20"/>
      <c r="Y39" s="20"/>
      <c r="Z39" s="40" t="s">
        <v>24</v>
      </c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40" t="s">
        <v>21</v>
      </c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3" t="b">
        <f>OR(AND(Z39=Service1!$C$46,AW39=Service1!$C$56),AND(AW39&gt;"0",Z39&lt;&gt;Service1!$C$46))</f>
        <v>1</v>
      </c>
      <c r="BU39" s="35" t="b">
        <f>OR(AND(CB39=Service1!$C$46,CY39=Service1!$C$56),AND(CY39&gt;"0",CB39&lt;&gt;Service1!$C$46))</f>
        <v>1</v>
      </c>
      <c r="BV39" s="36" t="s">
        <v>19</v>
      </c>
      <c r="BW39" s="20"/>
      <c r="BX39" s="20"/>
      <c r="BY39" s="20"/>
      <c r="BZ39" s="20"/>
      <c r="CA39" s="20"/>
      <c r="CB39" s="22" t="s">
        <v>44</v>
      </c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 t="s">
        <v>21</v>
      </c>
      <c r="CZ39" s="22"/>
      <c r="DA39" s="22"/>
      <c r="DB39" s="22"/>
      <c r="DC39" s="22"/>
      <c r="DD39" s="22"/>
      <c r="DE39" s="22"/>
      <c r="DF39" s="22"/>
      <c r="DG39" s="22"/>
      <c r="DH39" s="22"/>
      <c r="DI39" s="22"/>
      <c r="DJ39" s="22"/>
      <c r="DK39" s="22"/>
      <c r="DL39" s="22"/>
      <c r="DM39" s="22"/>
      <c r="DN39" s="22"/>
      <c r="DO39" s="22"/>
      <c r="DP39" s="22"/>
      <c r="DQ39" s="22"/>
      <c r="DR39" s="22"/>
      <c r="DS39" s="22"/>
      <c r="DT39" s="22"/>
      <c r="DU39" s="22"/>
      <c r="DW39" s="5"/>
    </row>
    <row r="40" spans="1:159" customHeight="1" ht="24.75">
      <c r="C40" s="12" t="s">
        <v>34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36" t="s">
        <v>16</v>
      </c>
      <c r="U40" s="20"/>
      <c r="V40" s="20"/>
      <c r="W40" s="20"/>
      <c r="X40" s="20"/>
      <c r="Y40" s="20"/>
      <c r="Z40" s="40" t="s">
        <v>24</v>
      </c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40" t="s">
        <v>18</v>
      </c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3" t="b">
        <f>OR(AND(Z40=Service1!$C$46,AW40=Service1!$C$56),AND(AW40&gt;"0",Z40&lt;&gt;Service1!$C$46))</f>
        <v>1</v>
      </c>
      <c r="BU40" s="35" t="b">
        <f>OR(AND(CB40=Service1!$C$46,CY40=Service1!$C$56),AND(CY40&gt;"0",CB40&lt;&gt;Service1!$C$46))</f>
        <v>1</v>
      </c>
      <c r="BV40" s="36" t="s">
        <v>23</v>
      </c>
      <c r="BW40" s="20"/>
      <c r="BX40" s="20"/>
      <c r="BY40" s="20"/>
      <c r="BZ40" s="20"/>
      <c r="CA40" s="20"/>
      <c r="CB40" s="22" t="s">
        <v>44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 t="s">
        <v>21</v>
      </c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W40" s="5"/>
    </row>
    <row r="41" spans="1:159" customHeight="1" ht="24.75">
      <c r="C41" s="12" t="s">
        <v>35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36" t="s">
        <v>16</v>
      </c>
      <c r="U41" s="20"/>
      <c r="V41" s="20"/>
      <c r="W41" s="20"/>
      <c r="X41" s="20"/>
      <c r="Y41" s="20"/>
      <c r="Z41" s="40" t="s">
        <v>24</v>
      </c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40" t="s">
        <v>21</v>
      </c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3" t="b">
        <f>OR(AND(Z41=Service1!$C$46,AW41=Service1!$C$56),AND(AW41&gt;"0",Z41&lt;&gt;Service1!$C$46))</f>
        <v>1</v>
      </c>
      <c r="BU41" s="35" t="b">
        <f>OR(AND(CB41=Service1!$C$46,CY41=Service1!$C$56),AND(CY41&gt;"0",CB41&lt;&gt;Service1!$C$46))</f>
        <v>1</v>
      </c>
      <c r="BV41" s="36" t="s">
        <v>19</v>
      </c>
      <c r="BW41" s="20"/>
      <c r="BX41" s="20"/>
      <c r="BY41" s="20"/>
      <c r="BZ41" s="20"/>
      <c r="CA41" s="20"/>
      <c r="CB41" s="22" t="s">
        <v>44</v>
      </c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 t="s">
        <v>21</v>
      </c>
      <c r="CZ41" s="22"/>
      <c r="DA41" s="22"/>
      <c r="DB41" s="22"/>
      <c r="DC41" s="22"/>
      <c r="DD41" s="22"/>
      <c r="DE41" s="22"/>
      <c r="DF41" s="22"/>
      <c r="DG41" s="22"/>
      <c r="DH41" s="22"/>
      <c r="DI41" s="22"/>
      <c r="DJ41" s="22"/>
      <c r="DK41" s="22"/>
      <c r="DL41" s="22"/>
      <c r="DM41" s="22"/>
      <c r="DN41" s="22"/>
      <c r="DO41" s="22"/>
      <c r="DP41" s="22"/>
      <c r="DQ41" s="22"/>
      <c r="DR41" s="22"/>
      <c r="DS41" s="22"/>
      <c r="DT41" s="22"/>
      <c r="DU41" s="22"/>
      <c r="DW41" s="5"/>
    </row>
    <row r="42" spans="1:159" customHeight="1" ht="24.75">
      <c r="C42" s="12" t="s">
        <v>36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36" t="s">
        <v>16</v>
      </c>
      <c r="U42" s="20"/>
      <c r="V42" s="20"/>
      <c r="W42" s="20"/>
      <c r="X42" s="20"/>
      <c r="Y42" s="20"/>
      <c r="Z42" s="40" t="s">
        <v>24</v>
      </c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40" t="s">
        <v>18</v>
      </c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3" t="b">
        <f>OR(AND(Z42=Service1!$C$46,AW42=Service1!$C$56),AND(AW42&gt;"0",Z42&lt;&gt;Service1!$C$46))</f>
        <v>1</v>
      </c>
      <c r="BU42" s="35" t="b">
        <f>OR(AND(CB42=Service1!$C$46,CY42=Service1!$C$56),AND(CY42&gt;"0",CB42&lt;&gt;Service1!$C$46))</f>
        <v>1</v>
      </c>
      <c r="BV42" s="36" t="s">
        <v>23</v>
      </c>
      <c r="BW42" s="20"/>
      <c r="BX42" s="20"/>
      <c r="BY42" s="20"/>
      <c r="BZ42" s="20"/>
      <c r="CA42" s="20"/>
      <c r="CB42" s="22" t="s">
        <v>44</v>
      </c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 t="s">
        <v>21</v>
      </c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22"/>
      <c r="DT42" s="22"/>
      <c r="DU42" s="22"/>
      <c r="DW42" s="5"/>
    </row>
    <row r="43" spans="1:159" customHeight="1" ht="24.75">
      <c r="C43" s="12" t="s">
        <v>37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36" t="s">
        <v>16</v>
      </c>
      <c r="U43" s="20"/>
      <c r="V43" s="20"/>
      <c r="W43" s="20"/>
      <c r="X43" s="20"/>
      <c r="Y43" s="20"/>
      <c r="Z43" s="40" t="s">
        <v>24</v>
      </c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40" t="s">
        <v>18</v>
      </c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3" t="b">
        <f>OR(AND(Z43=Service1!$C$46,AW43=Service1!$C$56),AND(AW43&gt;"0",Z43&lt;&gt;Service1!$C$46))</f>
        <v>1</v>
      </c>
      <c r="BU43" s="35" t="b">
        <f>OR(AND(CB43=Service1!$C$46,CY43=Service1!$C$56),AND(CY43&gt;"0",CB43&lt;&gt;Service1!$C$46))</f>
        <v>1</v>
      </c>
      <c r="BV43" s="36" t="s">
        <v>23</v>
      </c>
      <c r="BW43" s="20"/>
      <c r="BX43" s="20"/>
      <c r="BY43" s="20"/>
      <c r="BZ43" s="20"/>
      <c r="CA43" s="20"/>
      <c r="CB43" s="22" t="s">
        <v>44</v>
      </c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 t="s">
        <v>21</v>
      </c>
      <c r="CZ43" s="22"/>
      <c r="DA43" s="22"/>
      <c r="DB43" s="22"/>
      <c r="DC43" s="22"/>
      <c r="DD43" s="22"/>
      <c r="DE43" s="22"/>
      <c r="DF43" s="22"/>
      <c r="DG43" s="22"/>
      <c r="DH43" s="22"/>
      <c r="DI43" s="22"/>
      <c r="DJ43" s="22"/>
      <c r="DK43" s="22"/>
      <c r="DL43" s="22"/>
      <c r="DM43" s="22"/>
      <c r="DN43" s="22"/>
      <c r="DO43" s="22"/>
      <c r="DP43" s="22"/>
      <c r="DQ43" s="22"/>
      <c r="DR43" s="22"/>
      <c r="DS43" s="22"/>
      <c r="DT43" s="22"/>
      <c r="DU43" s="22"/>
      <c r="DW43" s="5"/>
    </row>
    <row r="44" spans="1:159" customHeight="1" ht="24.75">
      <c r="C44" s="12" t="s">
        <v>38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36" t="s">
        <v>16</v>
      </c>
      <c r="U44" s="20"/>
      <c r="V44" s="20"/>
      <c r="W44" s="20"/>
      <c r="X44" s="20"/>
      <c r="Y44" s="20"/>
      <c r="Z44" s="40" t="s">
        <v>24</v>
      </c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40" t="s">
        <v>18</v>
      </c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3" t="b">
        <f>OR(AND(Z44=Service1!$C$46,AW44=Service1!$C$56),AND(AW44&gt;"0",Z44&lt;&gt;Service1!$C$46))</f>
        <v>1</v>
      </c>
      <c r="BU44" s="35" t="b">
        <f>OR(AND(CB44=Service1!$C$46,CY44=Service1!$C$56),AND(CY44&gt;"0",CB44&lt;&gt;Service1!$C$46))</f>
        <v>1</v>
      </c>
      <c r="BV44" s="36" t="s">
        <v>19</v>
      </c>
      <c r="BW44" s="20"/>
      <c r="BX44" s="20"/>
      <c r="BY44" s="20"/>
      <c r="BZ44" s="20"/>
      <c r="CA44" s="20"/>
      <c r="CB44" s="22" t="s">
        <v>44</v>
      </c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 t="s">
        <v>21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22"/>
      <c r="DJ44" s="22"/>
      <c r="DK44" s="22"/>
      <c r="DL44" s="22"/>
      <c r="DM44" s="22"/>
      <c r="DN44" s="22"/>
      <c r="DO44" s="22"/>
      <c r="DP44" s="22"/>
      <c r="DQ44" s="22"/>
      <c r="DR44" s="22"/>
      <c r="DS44" s="22"/>
      <c r="DT44" s="22"/>
      <c r="DU44" s="22"/>
      <c r="DW44" s="5"/>
    </row>
    <row r="45" spans="1:159" customHeight="1" ht="24.75">
      <c r="C45" s="12" t="s">
        <v>39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36" t="s">
        <v>16</v>
      </c>
      <c r="U45" s="20"/>
      <c r="V45" s="20"/>
      <c r="W45" s="20"/>
      <c r="X45" s="20"/>
      <c r="Y45" s="20"/>
      <c r="Z45" s="40" t="s">
        <v>24</v>
      </c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40" t="s">
        <v>18</v>
      </c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3" t="b">
        <f>OR(AND(Z45=Service1!$C$46,AW45=Service1!$C$56),AND(AW45&gt;"0",Z45&lt;&gt;Service1!$C$46))</f>
        <v>1</v>
      </c>
      <c r="BU45" s="35" t="b">
        <f>OR(AND(CB45=Service1!$C$46,CY45=Service1!$C$56),AND(CY45&gt;"0",CB45&lt;&gt;Service1!$C$46))</f>
        <v>1</v>
      </c>
      <c r="BV45" s="36" t="s">
        <v>19</v>
      </c>
      <c r="BW45" s="20"/>
      <c r="BX45" s="20"/>
      <c r="BY45" s="20"/>
      <c r="BZ45" s="20"/>
      <c r="CA45" s="20"/>
      <c r="CB45" s="22" t="s">
        <v>44</v>
      </c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 t="s">
        <v>21</v>
      </c>
      <c r="CZ45" s="22"/>
      <c r="DA45" s="22"/>
      <c r="DB45" s="22"/>
      <c r="DC45" s="22"/>
      <c r="DD45" s="22"/>
      <c r="DE45" s="22"/>
      <c r="DF45" s="22"/>
      <c r="DG45" s="22"/>
      <c r="DH45" s="22"/>
      <c r="DI45" s="22"/>
      <c r="DJ45" s="22"/>
      <c r="DK45" s="22"/>
      <c r="DL45" s="22"/>
      <c r="DM45" s="22"/>
      <c r="DN45" s="22"/>
      <c r="DO45" s="22"/>
      <c r="DP45" s="22"/>
      <c r="DQ45" s="22"/>
      <c r="DR45" s="22"/>
      <c r="DS45" s="22"/>
      <c r="DT45" s="22"/>
      <c r="DU45" s="22"/>
      <c r="DW45" s="5"/>
    </row>
  </sheetData>
  <mergeCells>
    <mergeCell ref="C2:K2"/>
    <mergeCell ref="L2:U2"/>
    <mergeCell ref="W2:AE2"/>
    <mergeCell ref="AG2:AR2"/>
    <mergeCell ref="BN2:DU2"/>
    <mergeCell ref="T4:BS4"/>
    <mergeCell ref="BV4:DU4"/>
    <mergeCell ref="T5:AK5"/>
    <mergeCell ref="AL5:BB5"/>
    <mergeCell ref="BC5:BS5"/>
    <mergeCell ref="BV5:CM5"/>
    <mergeCell ref="CN5:DD5"/>
    <mergeCell ref="DE5:DU5"/>
    <mergeCell ref="C6:S6"/>
    <mergeCell ref="T6:AK6"/>
    <mergeCell ref="AL6:BB6"/>
    <mergeCell ref="BC6:BS6"/>
    <mergeCell ref="BV6:CM6"/>
    <mergeCell ref="CN6:DD6"/>
    <mergeCell ref="DE6:DU6"/>
    <mergeCell ref="T7:Y7"/>
    <mergeCell ref="Z7:AV7"/>
    <mergeCell ref="AW7:BS7"/>
    <mergeCell ref="BV7:CA7"/>
    <mergeCell ref="CB7:CX7"/>
    <mergeCell ref="CY7:DU7"/>
    <mergeCell ref="C8:S8"/>
    <mergeCell ref="T8:Y8"/>
    <mergeCell ref="Z8:AV8"/>
    <mergeCell ref="AW8:BS8"/>
    <mergeCell ref="BV8:CA8"/>
    <mergeCell ref="CB8:CX8"/>
    <mergeCell ref="CY8:DU8"/>
    <mergeCell ref="C9:S9"/>
    <mergeCell ref="T9:Y9"/>
    <mergeCell ref="Z9:AV9"/>
    <mergeCell ref="AW9:BS9"/>
    <mergeCell ref="BV9:CA9"/>
    <mergeCell ref="CB9:CX9"/>
    <mergeCell ref="CY9:DU9"/>
    <mergeCell ref="C10:S10"/>
    <mergeCell ref="T10:Y10"/>
    <mergeCell ref="Z10:AV10"/>
    <mergeCell ref="AW10:BS10"/>
    <mergeCell ref="BV10:CA10"/>
    <mergeCell ref="CB10:CX10"/>
    <mergeCell ref="CY10:DU10"/>
    <mergeCell ref="C11:S11"/>
    <mergeCell ref="T11:Y11"/>
    <mergeCell ref="Z11:AV11"/>
    <mergeCell ref="AW11:BS11"/>
    <mergeCell ref="BV11:CA11"/>
    <mergeCell ref="CB11:CX11"/>
    <mergeCell ref="CY11:DU11"/>
    <mergeCell ref="C12:S12"/>
    <mergeCell ref="T12:Y12"/>
    <mergeCell ref="Z12:AV12"/>
    <mergeCell ref="AW12:BS12"/>
    <mergeCell ref="BV12:CA12"/>
    <mergeCell ref="CB12:CX12"/>
    <mergeCell ref="CY12:DU12"/>
    <mergeCell ref="C13:S13"/>
    <mergeCell ref="T13:Y13"/>
    <mergeCell ref="Z13:AV13"/>
    <mergeCell ref="AW13:BS13"/>
    <mergeCell ref="BV13:CA13"/>
    <mergeCell ref="CB13:CX13"/>
    <mergeCell ref="CY13:DU13"/>
    <mergeCell ref="C14:S14"/>
    <mergeCell ref="T14:Y14"/>
    <mergeCell ref="Z14:AV14"/>
    <mergeCell ref="AW14:BS14"/>
    <mergeCell ref="BV14:CA14"/>
    <mergeCell ref="CB14:CX14"/>
    <mergeCell ref="CY14:DU14"/>
    <mergeCell ref="C15:S15"/>
    <mergeCell ref="T15:Y15"/>
    <mergeCell ref="Z15:AV15"/>
    <mergeCell ref="AW15:BS15"/>
    <mergeCell ref="BV15:CA15"/>
    <mergeCell ref="CB15:CX15"/>
    <mergeCell ref="CY15:DU15"/>
    <mergeCell ref="C16:S16"/>
    <mergeCell ref="T16:Y16"/>
    <mergeCell ref="Z16:AV16"/>
    <mergeCell ref="AW16:BS16"/>
    <mergeCell ref="BV16:CA16"/>
    <mergeCell ref="CB16:CX16"/>
    <mergeCell ref="CY16:DU16"/>
    <mergeCell ref="C17:S17"/>
    <mergeCell ref="T17:Y17"/>
    <mergeCell ref="Z17:AV17"/>
    <mergeCell ref="AW17:BS17"/>
    <mergeCell ref="BV17:CA17"/>
    <mergeCell ref="CB17:CX17"/>
    <mergeCell ref="CY17:DU17"/>
    <mergeCell ref="C18:S18"/>
    <mergeCell ref="T18:Y18"/>
    <mergeCell ref="Z18:AV18"/>
    <mergeCell ref="AW18:BS18"/>
    <mergeCell ref="BV18:CA18"/>
    <mergeCell ref="CB18:CX18"/>
    <mergeCell ref="CY18:DU18"/>
    <mergeCell ref="C19:S19"/>
    <mergeCell ref="T19:Y19"/>
    <mergeCell ref="Z19:AV19"/>
    <mergeCell ref="AW19:BS19"/>
    <mergeCell ref="BV19:CA19"/>
    <mergeCell ref="CB19:CX19"/>
    <mergeCell ref="CY19:DU19"/>
    <mergeCell ref="C20:S20"/>
    <mergeCell ref="T20:Y20"/>
    <mergeCell ref="Z20:AV20"/>
    <mergeCell ref="AW20:BS20"/>
    <mergeCell ref="BV20:CA20"/>
    <mergeCell ref="CB20:CX20"/>
    <mergeCell ref="CY20:DU20"/>
    <mergeCell ref="C21:S21"/>
    <mergeCell ref="T21:Y21"/>
    <mergeCell ref="Z21:AV21"/>
    <mergeCell ref="AW21:BS21"/>
    <mergeCell ref="BV21:CA21"/>
    <mergeCell ref="CB21:CX21"/>
    <mergeCell ref="CY21:DU21"/>
    <mergeCell ref="C22:S22"/>
    <mergeCell ref="T22:Y22"/>
    <mergeCell ref="Z22:AV22"/>
    <mergeCell ref="AW22:BS22"/>
    <mergeCell ref="BV22:CA22"/>
    <mergeCell ref="CB22:CX22"/>
    <mergeCell ref="CY22:DU22"/>
    <mergeCell ref="C25:K25"/>
    <mergeCell ref="L25:U25"/>
    <mergeCell ref="W25:AE25"/>
    <mergeCell ref="AG25:AR25"/>
    <mergeCell ref="BN25:DU25"/>
    <mergeCell ref="T27:BS27"/>
    <mergeCell ref="BV27:DU27"/>
    <mergeCell ref="T28:AK28"/>
    <mergeCell ref="AL28:BB28"/>
    <mergeCell ref="BC28:BS28"/>
    <mergeCell ref="BV28:CM28"/>
    <mergeCell ref="CN28:DD28"/>
    <mergeCell ref="DE28:DU28"/>
    <mergeCell ref="C29:S29"/>
    <mergeCell ref="T29:AK29"/>
    <mergeCell ref="AL29:BB29"/>
    <mergeCell ref="BC29:BS29"/>
    <mergeCell ref="BV29:CM29"/>
    <mergeCell ref="CN29:DD29"/>
    <mergeCell ref="DE29:DU29"/>
    <mergeCell ref="T30:Y30"/>
    <mergeCell ref="Z30:AV30"/>
    <mergeCell ref="AW30:BS30"/>
    <mergeCell ref="BV30:CA30"/>
    <mergeCell ref="CB30:CX30"/>
    <mergeCell ref="CY30:DU30"/>
    <mergeCell ref="C31:S31"/>
    <mergeCell ref="T31:Y31"/>
    <mergeCell ref="Z31:AV31"/>
    <mergeCell ref="AW31:BS31"/>
    <mergeCell ref="BV31:CA31"/>
    <mergeCell ref="CB31:CX31"/>
    <mergeCell ref="CY31:DU31"/>
    <mergeCell ref="C32:S32"/>
    <mergeCell ref="T32:Y32"/>
    <mergeCell ref="Z32:AV32"/>
    <mergeCell ref="AW32:BS32"/>
    <mergeCell ref="BV32:CA32"/>
    <mergeCell ref="CB32:CX32"/>
    <mergeCell ref="CY32:DU32"/>
    <mergeCell ref="C33:S33"/>
    <mergeCell ref="T33:Y33"/>
    <mergeCell ref="Z33:AV33"/>
    <mergeCell ref="AW33:BS33"/>
    <mergeCell ref="BV33:CA33"/>
    <mergeCell ref="CB33:CX33"/>
    <mergeCell ref="CY33:DU33"/>
    <mergeCell ref="C34:S34"/>
    <mergeCell ref="T34:Y34"/>
    <mergeCell ref="Z34:AV34"/>
    <mergeCell ref="AW34:BS34"/>
    <mergeCell ref="BV34:CA34"/>
    <mergeCell ref="CB34:CX34"/>
    <mergeCell ref="CY34:DU34"/>
    <mergeCell ref="C35:S35"/>
    <mergeCell ref="T35:Y35"/>
    <mergeCell ref="Z35:AV35"/>
    <mergeCell ref="AW35:BS35"/>
    <mergeCell ref="BV35:CA35"/>
    <mergeCell ref="CB35:CX35"/>
    <mergeCell ref="CY35:DU35"/>
    <mergeCell ref="C36:S36"/>
    <mergeCell ref="T36:Y36"/>
    <mergeCell ref="Z36:AV36"/>
    <mergeCell ref="AW36:BS36"/>
    <mergeCell ref="BV36:CA36"/>
    <mergeCell ref="CB36:CX36"/>
    <mergeCell ref="CY36:DU36"/>
    <mergeCell ref="C37:S37"/>
    <mergeCell ref="T37:Y37"/>
    <mergeCell ref="Z37:AV37"/>
    <mergeCell ref="AW37:BS37"/>
    <mergeCell ref="BV37:CA37"/>
    <mergeCell ref="CB37:CX37"/>
    <mergeCell ref="CY37:DU37"/>
    <mergeCell ref="C38:S38"/>
    <mergeCell ref="T38:Y38"/>
    <mergeCell ref="Z38:AV38"/>
    <mergeCell ref="AW38:BS38"/>
    <mergeCell ref="BV38:CA38"/>
    <mergeCell ref="CB38:CX38"/>
    <mergeCell ref="CY38:DU38"/>
    <mergeCell ref="C39:S39"/>
    <mergeCell ref="T39:Y39"/>
    <mergeCell ref="Z39:AV39"/>
    <mergeCell ref="AW39:BS39"/>
    <mergeCell ref="BV39:CA39"/>
    <mergeCell ref="CB39:CX39"/>
    <mergeCell ref="CY39:DU39"/>
    <mergeCell ref="C40:S40"/>
    <mergeCell ref="T40:Y40"/>
    <mergeCell ref="Z40:AV40"/>
    <mergeCell ref="AW40:BS40"/>
    <mergeCell ref="BV40:CA40"/>
    <mergeCell ref="CB40:CX40"/>
    <mergeCell ref="CY40:DU40"/>
    <mergeCell ref="C41:S41"/>
    <mergeCell ref="T41:Y41"/>
    <mergeCell ref="Z41:AV41"/>
    <mergeCell ref="AW41:BS41"/>
    <mergeCell ref="BV41:CA41"/>
    <mergeCell ref="CB41:CX41"/>
    <mergeCell ref="CY41:DU41"/>
    <mergeCell ref="C42:S42"/>
    <mergeCell ref="T42:Y42"/>
    <mergeCell ref="Z42:AV42"/>
    <mergeCell ref="AW42:BS42"/>
    <mergeCell ref="BV42:CA42"/>
    <mergeCell ref="CB42:CX42"/>
    <mergeCell ref="CY42:DU42"/>
    <mergeCell ref="C43:S43"/>
    <mergeCell ref="T43:Y43"/>
    <mergeCell ref="Z43:AV43"/>
    <mergeCell ref="AW43:BS43"/>
    <mergeCell ref="BV43:CA43"/>
    <mergeCell ref="CB43:CX43"/>
    <mergeCell ref="CY43:DU43"/>
    <mergeCell ref="C44:S44"/>
    <mergeCell ref="T44:Y44"/>
    <mergeCell ref="Z44:AV44"/>
    <mergeCell ref="AW44:BS44"/>
    <mergeCell ref="BV44:CA44"/>
    <mergeCell ref="CB44:CX44"/>
    <mergeCell ref="CY44:DU44"/>
    <mergeCell ref="C45:S45"/>
    <mergeCell ref="T45:Y45"/>
    <mergeCell ref="Z45:AV45"/>
    <mergeCell ref="AW45:BS45"/>
    <mergeCell ref="BV45:CA45"/>
    <mergeCell ref="CB45:CX45"/>
    <mergeCell ref="CY45:DU45"/>
  </mergeCells>
  <conditionalFormatting sqref="CB44:CX44">
    <cfRule type="expression" dxfId="0" priority="1">
      <formula>$BU$33=0</formula>
    </cfRule>
  </conditionalFormatting>
  <conditionalFormatting sqref="CY44:DU45">
    <cfRule type="expression" dxfId="1" priority="2">
      <formula>$BU$32=0</formula>
    </cfRule>
  </conditionalFormatting>
  <conditionalFormatting sqref="CB45:CX45">
    <cfRule type="expression" dxfId="2" priority="3">
      <formula>$BU$34=0</formula>
    </cfRule>
  </conditionalFormatting>
  <conditionalFormatting sqref="AW42:BS45">
    <cfRule type="expression" dxfId="3" priority="4">
      <formula>$BT$34=0</formula>
    </cfRule>
  </conditionalFormatting>
  <conditionalFormatting sqref="AW33:BS33">
    <cfRule type="expression" dxfId="4" priority="5">
      <formula>$BT$32=0</formula>
    </cfRule>
    <cfRule type="expression" dxfId="5" priority="6">
      <formula>$BT$33=0</formula>
    </cfRule>
  </conditionalFormatting>
  <conditionalFormatting sqref="AW35:BS41">
    <cfRule type="expression" dxfId="4" priority="7">
      <formula>$BT$32=0</formula>
    </cfRule>
    <cfRule type="expression" dxfId="5" priority="8">
      <formula>$BT$33=0</formula>
    </cfRule>
  </conditionalFormatting>
  <conditionalFormatting sqref="Z42:AV45">
    <cfRule type="expression" dxfId="6" priority="9">
      <formula>$BT$36=0</formula>
    </cfRule>
  </conditionalFormatting>
  <conditionalFormatting sqref="Z33:AV33">
    <cfRule type="expression" dxfId="4" priority="10">
      <formula>$BT$32=0</formula>
    </cfRule>
  </conditionalFormatting>
  <conditionalFormatting sqref="Z35:AV41">
    <cfRule type="expression" dxfId="4" priority="11">
      <formula>$BT$32=0</formula>
    </cfRule>
  </conditionalFormatting>
  <conditionalFormatting sqref="CY15:DU22">
    <cfRule type="expression" dxfId="7" priority="12">
      <formula>$BU$11=0</formula>
    </cfRule>
  </conditionalFormatting>
  <conditionalFormatting sqref="CY10:DU14">
    <cfRule type="expression" dxfId="8" priority="13">
      <formula>$BU$9=0</formula>
    </cfRule>
    <cfRule type="expression" dxfId="9" priority="14">
      <formula>$BU$10=0</formula>
    </cfRule>
  </conditionalFormatting>
  <conditionalFormatting sqref="CB21:CX22">
    <cfRule type="expression" dxfId="10" priority="15">
      <formula>$BU$20=0</formula>
    </cfRule>
  </conditionalFormatting>
  <conditionalFormatting sqref="CB15:CX19">
    <cfRule type="expression" dxfId="11" priority="16">
      <formula>$BU$13=0</formula>
    </cfRule>
  </conditionalFormatting>
  <conditionalFormatting sqref="CB10:CX14">
    <cfRule type="expression" dxfId="8" priority="17">
      <formula>$BU$9=0</formula>
    </cfRule>
  </conditionalFormatting>
  <conditionalFormatting sqref="Z21:BS21">
    <cfRule type="expression" dxfId="12" priority="18">
      <formula>$BT$21=0</formula>
    </cfRule>
  </conditionalFormatting>
  <conditionalFormatting sqref="Z20:BS20">
    <cfRule type="expression" dxfId="13" priority="19">
      <formula>$BT$20=0</formula>
    </cfRule>
  </conditionalFormatting>
  <conditionalFormatting sqref="AW19:BS19">
    <cfRule type="expression" dxfId="14" priority="20">
      <formula>$BT$19=0</formula>
    </cfRule>
  </conditionalFormatting>
  <conditionalFormatting sqref="AW18:BS18">
    <cfRule type="expression" dxfId="15" priority="21">
      <formula>$BT$18=0</formula>
    </cfRule>
  </conditionalFormatting>
  <conditionalFormatting sqref="Z19:AV19">
    <cfRule type="expression" dxfId="15" priority="22">
      <formula>$BT$18=0</formula>
    </cfRule>
  </conditionalFormatting>
  <conditionalFormatting sqref="AW17:BS17">
    <cfRule type="expression" dxfId="16" priority="23">
      <formula>$BT$17=0</formula>
    </cfRule>
  </conditionalFormatting>
  <conditionalFormatting sqref="Z16:BS16">
    <cfRule type="expression" dxfId="17" priority="24">
      <formula>$BT$16=0</formula>
    </cfRule>
  </conditionalFormatting>
  <conditionalFormatting sqref="Z17:AV18">
    <cfRule type="expression" dxfId="17" priority="25">
      <formula>$BT$16=0</formula>
    </cfRule>
  </conditionalFormatting>
  <conditionalFormatting sqref="Z15:BS15">
    <cfRule type="expression" dxfId="18" priority="26">
      <formula>$BT$15=0</formula>
    </cfRule>
  </conditionalFormatting>
  <conditionalFormatting sqref="Z14:BS14">
    <cfRule type="expression" dxfId="19" priority="27">
      <formula>$BT$14=0</formula>
    </cfRule>
  </conditionalFormatting>
  <conditionalFormatting sqref="Z13:BS13">
    <cfRule type="expression" dxfId="20" priority="28">
      <formula>$BT$13=0</formula>
    </cfRule>
  </conditionalFormatting>
  <conditionalFormatting sqref="AW12:BS12">
    <cfRule type="expression" dxfId="21" priority="29">
      <formula>$BT$12=0</formula>
    </cfRule>
  </conditionalFormatting>
  <conditionalFormatting sqref="Z11:BS11">
    <cfRule type="expression" dxfId="22" priority="30">
      <formula>$BT$11=0</formula>
    </cfRule>
  </conditionalFormatting>
  <conditionalFormatting sqref="Z12:AV12">
    <cfRule type="expression" dxfId="22" priority="31">
      <formula>$BT$11=0</formula>
    </cfRule>
  </conditionalFormatting>
  <conditionalFormatting sqref="Z10:BS10">
    <cfRule type="expression" dxfId="23" priority="32">
      <formula>$BT$10=0</formula>
    </cfRule>
  </conditionalFormatting>
  <conditionalFormatting sqref="Z9:BS9">
    <cfRule type="expression" dxfId="24" priority="33">
      <formula>$BT$9=0</formula>
    </cfRule>
  </conditionalFormatting>
  <conditionalFormatting sqref="CY45:DU45">
    <cfRule type="expression" dxfId="25" priority="34">
      <formula>$BU$45=0</formula>
    </cfRule>
  </conditionalFormatting>
  <conditionalFormatting sqref="CY44:DU44">
    <cfRule type="expression" dxfId="26" priority="35">
      <formula>$BU$44=0</formula>
    </cfRule>
  </conditionalFormatting>
  <conditionalFormatting sqref="CB33:DU43">
    <cfRule type="expression" dxfId="0" priority="36">
      <formula>$BU$33=0</formula>
    </cfRule>
  </conditionalFormatting>
  <conditionalFormatting sqref="CY32:DU32">
    <cfRule type="expression" dxfId="1" priority="37">
      <formula>$BU$32=0</formula>
    </cfRule>
  </conditionalFormatting>
  <conditionalFormatting sqref="CB31:DU31">
    <cfRule type="expression" dxfId="27" priority="38">
      <formula>$BU$31=0</formula>
    </cfRule>
  </conditionalFormatting>
  <conditionalFormatting sqref="CB32:CX32">
    <cfRule type="expression" dxfId="27" priority="39">
      <formula>$BU$31=0</formula>
    </cfRule>
  </conditionalFormatting>
  <conditionalFormatting sqref="AW45:BS45">
    <cfRule type="expression" dxfId="28" priority="40">
      <formula>$BT$45=0</formula>
    </cfRule>
  </conditionalFormatting>
  <conditionalFormatting sqref="AW44:BS44">
    <cfRule type="expression" dxfId="29" priority="41">
      <formula>$BT$44=0</formula>
    </cfRule>
  </conditionalFormatting>
  <conditionalFormatting sqref="AW43:BS43">
    <cfRule type="expression" dxfId="30" priority="42">
      <formula>$BT$43=0</formula>
    </cfRule>
  </conditionalFormatting>
  <conditionalFormatting sqref="AW42:BS42">
    <cfRule type="expression" dxfId="31" priority="43">
      <formula>$BT$42=0</formula>
    </cfRule>
  </conditionalFormatting>
  <conditionalFormatting sqref="Z32:BS32">
    <cfRule type="expression" dxfId="4" priority="44">
      <formula>$BT$32=0</formula>
    </cfRule>
  </conditionalFormatting>
  <conditionalFormatting sqref="Z34:BS34">
    <cfRule type="expression" dxfId="4" priority="45">
      <formula>$BT$32=0</formula>
    </cfRule>
  </conditionalFormatting>
  <conditionalFormatting sqref="Z31:BS31">
    <cfRule type="expression" dxfId="32" priority="46">
      <formula>$BT$31=0</formula>
    </cfRule>
  </conditionalFormatting>
  <conditionalFormatting sqref="AW32:BS32">
    <cfRule type="expression" dxfId="32" priority="47">
      <formula>$BT$31=0</formula>
    </cfRule>
  </conditionalFormatting>
  <conditionalFormatting sqref="AW34:BS34">
    <cfRule type="expression" dxfId="32" priority="48">
      <formula>$BT$31=0</formula>
    </cfRule>
  </conditionalFormatting>
  <conditionalFormatting sqref="CY22:DU22">
    <cfRule type="expression" dxfId="33" priority="49">
      <formula>$BU$22=0</formula>
    </cfRule>
  </conditionalFormatting>
  <conditionalFormatting sqref="CY21:DU21">
    <cfRule type="expression" dxfId="10" priority="50">
      <formula>$BU$20=0</formula>
    </cfRule>
  </conditionalFormatting>
  <conditionalFormatting sqref="CB20:DU20">
    <cfRule type="expression" dxfId="10" priority="51">
      <formula>$BU$20=0</formula>
    </cfRule>
  </conditionalFormatting>
  <conditionalFormatting sqref="CY19:DU19">
    <cfRule type="expression" dxfId="34" priority="52">
      <formula>$BU$19=0</formula>
    </cfRule>
  </conditionalFormatting>
  <conditionalFormatting sqref="CY18:DU18">
    <cfRule type="expression" dxfId="35" priority="53">
      <formula>$BU$18=0</formula>
    </cfRule>
  </conditionalFormatting>
  <conditionalFormatting sqref="CY17:DU17">
    <cfRule type="expression" dxfId="36" priority="54">
      <formula>$BU$17=0</formula>
    </cfRule>
  </conditionalFormatting>
  <conditionalFormatting sqref="CY16:DU16">
    <cfRule type="expression" dxfId="37" priority="55">
      <formula>$BU$16=0</formula>
    </cfRule>
  </conditionalFormatting>
  <conditionalFormatting sqref="CY15:DU15">
    <cfRule type="expression" dxfId="38" priority="56">
      <formula>$BU$15=0</formula>
    </cfRule>
  </conditionalFormatting>
  <conditionalFormatting sqref="CY9:DU9">
    <cfRule type="expression" dxfId="8" priority="57">
      <formula>$BU$9=0</formula>
    </cfRule>
  </conditionalFormatting>
  <conditionalFormatting sqref="CB8:DU8">
    <cfRule type="expression" dxfId="39" priority="58">
      <formula>$BU$8=0</formula>
    </cfRule>
  </conditionalFormatting>
  <conditionalFormatting sqref="CB9:CX9">
    <cfRule type="expression" dxfId="39" priority="59">
      <formula>$BU$8=0</formula>
    </cfRule>
  </conditionalFormatting>
  <conditionalFormatting sqref="Z8:BS8">
    <cfRule type="expression" dxfId="40" priority="60">
      <formula>$BT$8=0</formula>
    </cfRule>
  </conditionalFormatting>
  <conditionalFormatting sqref="Z8 CY17 Z31:Z32 CB20 Z34 CB31:CB43 Z19 CB8:CB9">
    <cfRule type="cellIs" dxfId="41" priority="61" operator="equal">
      <formula>Service1!$C$50</formula>
    </cfRule>
  </conditionalFormatting>
  <conditionalFormatting sqref="AW8:BS22 AW31:BS45 CY31:DU45 CY8:DU22">
    <cfRule type="cellIs" dxfId="42" priority="62" operator="equal">
      <formula>Service1!$C$65</formula>
    </cfRule>
  </conditionalFormatting>
  <conditionalFormatting sqref="Z9:Z12">
    <cfRule type="cellIs" dxfId="41" priority="63" operator="equal">
      <formula>Service1!$C$50</formula>
    </cfRule>
  </conditionalFormatting>
  <conditionalFormatting sqref="Z13:Z18">
    <cfRule type="cellIs" dxfId="41" priority="64" operator="equal">
      <formula>Service1!$C$50</formula>
    </cfRule>
  </conditionalFormatting>
  <conditionalFormatting sqref="Z20:Z22">
    <cfRule type="cellIs" dxfId="41" priority="65" operator="equal">
      <formula>Service1!$C$50</formula>
    </cfRule>
  </conditionalFormatting>
  <conditionalFormatting sqref="CB10:CB14">
    <cfRule type="cellIs" dxfId="41" priority="66" operator="equal">
      <formula>Service1!$C$50</formula>
    </cfRule>
  </conditionalFormatting>
  <conditionalFormatting sqref="CB15:CB19">
    <cfRule type="cellIs" dxfId="41" priority="67" operator="equal">
      <formula>Service1!$C$50</formula>
    </cfRule>
  </conditionalFormatting>
  <conditionalFormatting sqref="CB21:CB22">
    <cfRule type="cellIs" dxfId="41" priority="68" operator="equal">
      <formula>Service1!$C$50</formula>
    </cfRule>
  </conditionalFormatting>
  <conditionalFormatting sqref="Z33 Z35:Z41">
    <cfRule type="cellIs" dxfId="41" priority="69" operator="equal">
      <formula>Service1!$C$50</formula>
    </cfRule>
  </conditionalFormatting>
  <conditionalFormatting sqref="Z42:Z45">
    <cfRule type="cellIs" dxfId="41" priority="70" operator="equal">
      <formula>Service1!$C$50</formula>
    </cfRule>
  </conditionalFormatting>
  <conditionalFormatting sqref="CB45">
    <cfRule type="cellIs" dxfId="41" priority="71" operator="equal">
      <formula>Service1!$C$50</formula>
    </cfRule>
  </conditionalFormatting>
  <conditionalFormatting sqref="CB44">
    <cfRule type="cellIs" dxfId="41" priority="72" operator="equal">
      <formula>Service1!$C$50</formula>
    </cfRule>
  </conditionalFormatting>
  <dataValidations count="262"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31:BV45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8:BV22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8:CB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Y17">
      <formula1>$C$24:$C$28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8:T22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31:T45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</dataValidations>
  <printOptions gridLines="false" gridLinesSet="true"/>
  <pageMargins left="0.7" right="0.7" top="0.75" bottom="0.75" header="0.51181102362205" footer="0.51181102362205"/>
  <pageSetup paperSize="9" orientation="portrait" scale="100" fitToHeight="0" fitToWidth="1" pageOrder="downThenOver"/>
  <headerFooter differentOddEven="false" differentFirst="false" scaleWithDoc="true" alignWithMargins="true">
    <oddHeader/>
    <oddFooter/>
    <evenHeader/>
    <evenFooter/>
    <firstHeader/>
    <firstFooter/>
  </headerFooter>
  <drawing r:id="rId1"/>
  <legacyDrawing r:id="rId_comments_vml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7">
              <controlPr defaultSize="0" print="true" autoFill="0" autoPict="0" macro="ExportMain.ExportJson">
                <anchor moveWithCells="true" sizeWithCells="false">
                  <from>
                    <xdr:col>127</xdr:col>
                    <xdr:colOff>38160</xdr:colOff>
                    <xdr:row>20</xdr:row>
                    <xdr:rowOff>162000</xdr:rowOff>
                  </from>
                  <to>
                    <xdr:col>149</xdr:col>
                    <xdr:colOff>47520</xdr:colOff>
                    <xdr:row>22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8">
              <controlPr defaultSize="0" print="true" autoFill="0" autoPict="0" macro="ExportMain.ExportWordVoiceTomorrow">
                <anchor moveWithCells="true" sizeWithCells="false">
                  <from>
                    <xdr:col>127</xdr:col>
                    <xdr:colOff>38160</xdr:colOff>
                    <xdr:row>23</xdr:row>
                    <xdr:rowOff>0</xdr:rowOff>
                  </from>
                  <to>
                    <xdr:col>149</xdr:col>
                    <xdr:colOff>47520</xdr:colOff>
                    <xdr:row>25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9">
              <controlPr defaultSize="0" print="true" autoFill="0" autoPict="0" macro="ExportMain.ExportWordWordNBTomorrow">
                <anchor moveWithCells="true" sizeWithCells="false">
                  <from>
                    <xdr:col>127</xdr:col>
                    <xdr:colOff>38160</xdr:colOff>
                    <xdr:row>25</xdr:row>
                    <xdr:rowOff>142920</xdr:rowOff>
                  </from>
                  <to>
                    <xdr:col>149</xdr:col>
                    <xdr:colOff>47520</xdr:colOff>
                    <xdr:row>28</xdr:row>
                    <xdr:rowOff>123840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10">
              <controlPr defaultSize="0" print="true" autoFill="0" autoPict="0" macro="ExportMain.ExportWordVoiceAfterTomorrow">
                <anchor moveWithCells="true" sizeWithCells="false">
                  <from>
                    <xdr:col>127</xdr:col>
                    <xdr:colOff>38160</xdr:colOff>
                    <xdr:row>28</xdr:row>
                    <xdr:rowOff>209520</xdr:rowOff>
                  </from>
                  <to>
                    <xdr:col>149</xdr:col>
                    <xdr:colOff>47520</xdr:colOff>
                    <xdr:row>30</xdr:row>
                    <xdr:rowOff>257040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17">
              <controlPr defaultSize="0" print="true" autoFill="0" autoPict="0" macro="ExportMain.ExportAll">
                <anchor moveWithCells="true" sizeWithCells="false">
                  <from>
                    <xdr:col>127</xdr:col>
                    <xdr:colOff>38160</xdr:colOff>
                    <xdr:row>0</xdr:row>
                    <xdr:rowOff>114120</xdr:rowOff>
                  </from>
                  <to>
                    <xdr:col>149</xdr:col>
                    <xdr:colOff>47520</xdr:colOff>
                    <xdr:row>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19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1</xdr:row>
                    <xdr:rowOff>9360</xdr:rowOff>
                  </from>
                  <to>
                    <xdr:col>54</xdr:col>
                    <xdr:colOff>56880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20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1</xdr:row>
                    <xdr:rowOff>9360</xdr:rowOff>
                  </from>
                  <to>
                    <xdr:col>63</xdr:col>
                    <xdr:colOff>104760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22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24</xdr:row>
                    <xdr:rowOff>19080</xdr:rowOff>
                  </from>
                  <to>
                    <xdr:col>54</xdr:col>
                    <xdr:colOff>56880</xdr:colOff>
                    <xdr:row>25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23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24</xdr:row>
                    <xdr:rowOff>19080</xdr:rowOff>
                  </from>
                  <to>
                    <xdr:col>63</xdr:col>
                    <xdr:colOff>104760</xdr:colOff>
                    <xdr:row>25</xdr:row>
                    <xdr:rowOff>19080</xdr:rowOff>
                  </to>
                </anchor>
              </controlPr>
            </control>
          </mc:Choice>
        </mc:AlternateContent>
      </controls>
    </mc:Choice>
  </mc:AlternateContent>
  <tableParts coun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METEO</vt:lpstr>
    </vt:vector>
  </TitlesOfParts>
  <Company/>
  <Manager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admingtrk</dc:creator>
  <cp:lastModifiedBy/>
  <dcterms:created xsi:type="dcterms:W3CDTF">2020-02-17T06:31:29+01:00</dcterms:created>
  <dcterms:modified xsi:type="dcterms:W3CDTF">2024-12-09T16:46:32+01:00</dcterms:modified>
  <dc:title/>
  <dc:description/>
  <dc:subject/>
  <cp:keywords/>
  <cp:category/>
</cp:coreProperties>
</file>